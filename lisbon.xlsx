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ichal\Downloads\"/>
    </mc:Choice>
  </mc:AlternateContent>
  <xr:revisionPtr revIDLastSave="0" documentId="13_ncr:1_{32AC629E-3B34-4D3B-B1E0-E42D8261A9D2}" xr6:coauthVersionLast="47" xr6:coauthVersionMax="47" xr10:uidLastSave="{00000000-0000-0000-0000-000000000000}"/>
  <bookViews>
    <workbookView xWindow="1785" yWindow="2970" windowWidth="21600" windowHeight="12735" xr2:uid="{00000000-000D-0000-FFFF-FFFF00000000}"/>
  </bookViews>
  <sheets>
    <sheet name="weather_data" sheetId="1" r:id="rId1"/>
    <sheet name="README" sheetId="2" r:id="rId2"/>
    <sheet name="viz_helper" sheetId="3" r:id="rId3"/>
  </sheets>
  <calcPr calcId="181029"/>
</workbook>
</file>

<file path=xl/calcChain.xml><?xml version="1.0" encoding="utf-8"?>
<calcChain xmlns="http://schemas.openxmlformats.org/spreadsheetml/2006/main">
  <c r="J351" i="3" l="1"/>
  <c r="I351" i="3"/>
  <c r="H351" i="3"/>
  <c r="A351" i="3"/>
  <c r="B351" i="3" s="1"/>
  <c r="J350" i="3"/>
  <c r="I350" i="3"/>
  <c r="H350" i="3"/>
  <c r="C350" i="3"/>
  <c r="A350" i="3"/>
  <c r="B350" i="3" s="1"/>
  <c r="J349" i="3"/>
  <c r="I349" i="3"/>
  <c r="H349" i="3"/>
  <c r="E349" i="3"/>
  <c r="C349" i="3"/>
  <c r="B349" i="3"/>
  <c r="D349" i="3" s="1"/>
  <c r="A349" i="3"/>
  <c r="J348" i="3"/>
  <c r="I348" i="3"/>
  <c r="H348" i="3"/>
  <c r="A348" i="3"/>
  <c r="B348" i="3" s="1"/>
  <c r="J347" i="3"/>
  <c r="I347" i="3"/>
  <c r="H347" i="3"/>
  <c r="A347" i="3"/>
  <c r="B347" i="3" s="1"/>
  <c r="J346" i="3"/>
  <c r="I346" i="3"/>
  <c r="H346" i="3"/>
  <c r="A346" i="3"/>
  <c r="B346" i="3" s="1"/>
  <c r="J345" i="3"/>
  <c r="I345" i="3"/>
  <c r="H345" i="3"/>
  <c r="E345" i="3"/>
  <c r="C345" i="3"/>
  <c r="B345" i="3"/>
  <c r="D345" i="3" s="1"/>
  <c r="A345" i="3"/>
  <c r="J344" i="3"/>
  <c r="I344" i="3"/>
  <c r="H344" i="3"/>
  <c r="A344" i="3"/>
  <c r="B344" i="3" s="1"/>
  <c r="J343" i="3"/>
  <c r="I343" i="3"/>
  <c r="H343" i="3"/>
  <c r="A343" i="3"/>
  <c r="B343" i="3" s="1"/>
  <c r="J342" i="3"/>
  <c r="I342" i="3"/>
  <c r="H342" i="3"/>
  <c r="C342" i="3"/>
  <c r="A342" i="3"/>
  <c r="B342" i="3" s="1"/>
  <c r="J341" i="3"/>
  <c r="I341" i="3"/>
  <c r="H341" i="3"/>
  <c r="E341" i="3"/>
  <c r="C341" i="3"/>
  <c r="B341" i="3"/>
  <c r="D341" i="3" s="1"/>
  <c r="A341" i="3"/>
  <c r="J340" i="3"/>
  <c r="I340" i="3"/>
  <c r="H340" i="3"/>
  <c r="A340" i="3"/>
  <c r="B340" i="3" s="1"/>
  <c r="J339" i="3"/>
  <c r="I339" i="3"/>
  <c r="H339" i="3"/>
  <c r="A339" i="3"/>
  <c r="B339" i="3" s="1"/>
  <c r="J338" i="3"/>
  <c r="I338" i="3"/>
  <c r="H338" i="3"/>
  <c r="A338" i="3"/>
  <c r="B338" i="3" s="1"/>
  <c r="J337" i="3"/>
  <c r="I337" i="3"/>
  <c r="H337" i="3"/>
  <c r="E337" i="3"/>
  <c r="C337" i="3"/>
  <c r="B337" i="3"/>
  <c r="D337" i="3" s="1"/>
  <c r="A337" i="3"/>
  <c r="J336" i="3"/>
  <c r="I336" i="3"/>
  <c r="H336" i="3"/>
  <c r="A336" i="3"/>
  <c r="B336" i="3" s="1"/>
  <c r="J335" i="3"/>
  <c r="I335" i="3"/>
  <c r="H335" i="3"/>
  <c r="A335" i="3"/>
  <c r="B335" i="3" s="1"/>
  <c r="J334" i="3"/>
  <c r="I334" i="3"/>
  <c r="H334" i="3"/>
  <c r="A334" i="3"/>
  <c r="B334" i="3" s="1"/>
  <c r="J333" i="3"/>
  <c r="I333" i="3"/>
  <c r="H333" i="3"/>
  <c r="E333" i="3"/>
  <c r="C333" i="3"/>
  <c r="B333" i="3"/>
  <c r="D333" i="3" s="1"/>
  <c r="A333" i="3"/>
  <c r="J332" i="3"/>
  <c r="I332" i="3"/>
  <c r="H332" i="3"/>
  <c r="A332" i="3"/>
  <c r="B332" i="3" s="1"/>
  <c r="J331" i="3"/>
  <c r="I331" i="3"/>
  <c r="H331" i="3"/>
  <c r="A331" i="3"/>
  <c r="B331" i="3" s="1"/>
  <c r="J330" i="3"/>
  <c r="I330" i="3"/>
  <c r="H330" i="3"/>
  <c r="C330" i="3"/>
  <c r="A330" i="3"/>
  <c r="B330" i="3" s="1"/>
  <c r="J329" i="3"/>
  <c r="I329" i="3"/>
  <c r="H329" i="3"/>
  <c r="E329" i="3"/>
  <c r="C329" i="3"/>
  <c r="B329" i="3"/>
  <c r="D329" i="3" s="1"/>
  <c r="A329" i="3"/>
  <c r="J328" i="3"/>
  <c r="I328" i="3"/>
  <c r="H328" i="3"/>
  <c r="E328" i="3"/>
  <c r="A328" i="3"/>
  <c r="B328" i="3" s="1"/>
  <c r="J327" i="3"/>
  <c r="I327" i="3"/>
  <c r="H327" i="3"/>
  <c r="A327" i="3"/>
  <c r="B327" i="3" s="1"/>
  <c r="J326" i="3"/>
  <c r="I326" i="3"/>
  <c r="H326" i="3"/>
  <c r="A326" i="3"/>
  <c r="B326" i="3" s="1"/>
  <c r="J325" i="3"/>
  <c r="I325" i="3"/>
  <c r="H325" i="3"/>
  <c r="E325" i="3"/>
  <c r="C325" i="3"/>
  <c r="B325" i="3"/>
  <c r="D325" i="3" s="1"/>
  <c r="A325" i="3"/>
  <c r="J324" i="3"/>
  <c r="I324" i="3"/>
  <c r="H324" i="3"/>
  <c r="A324" i="3"/>
  <c r="B324" i="3" s="1"/>
  <c r="J323" i="3"/>
  <c r="I323" i="3"/>
  <c r="H323" i="3"/>
  <c r="A323" i="3"/>
  <c r="B323" i="3" s="1"/>
  <c r="J322" i="3"/>
  <c r="I322" i="3"/>
  <c r="H322" i="3"/>
  <c r="C322" i="3"/>
  <c r="A322" i="3"/>
  <c r="B322" i="3" s="1"/>
  <c r="J321" i="3"/>
  <c r="I321" i="3"/>
  <c r="H321" i="3"/>
  <c r="E321" i="3"/>
  <c r="C321" i="3"/>
  <c r="B321" i="3"/>
  <c r="D321" i="3" s="1"/>
  <c r="A321" i="3"/>
  <c r="J320" i="3"/>
  <c r="I320" i="3"/>
  <c r="H320" i="3"/>
  <c r="E320" i="3"/>
  <c r="A320" i="3"/>
  <c r="B320" i="3" s="1"/>
  <c r="J319" i="3"/>
  <c r="I319" i="3"/>
  <c r="H319" i="3"/>
  <c r="A319" i="3"/>
  <c r="B319" i="3" s="1"/>
  <c r="J318" i="3"/>
  <c r="I318" i="3"/>
  <c r="H318" i="3"/>
  <c r="C318" i="3"/>
  <c r="A318" i="3"/>
  <c r="B318" i="3" s="1"/>
  <c r="J317" i="3"/>
  <c r="I317" i="3"/>
  <c r="H317" i="3"/>
  <c r="E317" i="3"/>
  <c r="C317" i="3"/>
  <c r="B317" i="3"/>
  <c r="D317" i="3" s="1"/>
  <c r="A317" i="3"/>
  <c r="J316" i="3"/>
  <c r="I316" i="3"/>
  <c r="H316" i="3"/>
  <c r="A316" i="3"/>
  <c r="B316" i="3" s="1"/>
  <c r="J315" i="3"/>
  <c r="I315" i="3"/>
  <c r="H315" i="3"/>
  <c r="A315" i="3"/>
  <c r="B315" i="3" s="1"/>
  <c r="J314" i="3"/>
  <c r="I314" i="3"/>
  <c r="H314" i="3"/>
  <c r="A314" i="3"/>
  <c r="B314" i="3" s="1"/>
  <c r="J313" i="3"/>
  <c r="I313" i="3"/>
  <c r="H313" i="3"/>
  <c r="E313" i="3"/>
  <c r="C313" i="3"/>
  <c r="B313" i="3"/>
  <c r="D313" i="3" s="1"/>
  <c r="A313" i="3"/>
  <c r="J312" i="3"/>
  <c r="I312" i="3"/>
  <c r="H312" i="3"/>
  <c r="A312" i="3"/>
  <c r="B312" i="3" s="1"/>
  <c r="J311" i="3"/>
  <c r="I311" i="3"/>
  <c r="H311" i="3"/>
  <c r="A311" i="3"/>
  <c r="B311" i="3" s="1"/>
  <c r="J310" i="3"/>
  <c r="I310" i="3"/>
  <c r="H310" i="3"/>
  <c r="C310" i="3"/>
  <c r="A310" i="3"/>
  <c r="B310" i="3" s="1"/>
  <c r="J309" i="3"/>
  <c r="I309" i="3"/>
  <c r="H309" i="3"/>
  <c r="E309" i="3"/>
  <c r="C309" i="3"/>
  <c r="B309" i="3"/>
  <c r="D309" i="3" s="1"/>
  <c r="A309" i="3"/>
  <c r="J308" i="3"/>
  <c r="I308" i="3"/>
  <c r="H308" i="3"/>
  <c r="E308" i="3"/>
  <c r="A308" i="3"/>
  <c r="B308" i="3" s="1"/>
  <c r="J307" i="3"/>
  <c r="I307" i="3"/>
  <c r="H307" i="3"/>
  <c r="A307" i="3"/>
  <c r="B307" i="3" s="1"/>
  <c r="J306" i="3"/>
  <c r="I306" i="3"/>
  <c r="H306" i="3"/>
  <c r="A306" i="3"/>
  <c r="B306" i="3" s="1"/>
  <c r="J305" i="3"/>
  <c r="I305" i="3"/>
  <c r="H305" i="3"/>
  <c r="E305" i="3"/>
  <c r="C305" i="3"/>
  <c r="B305" i="3"/>
  <c r="D305" i="3" s="1"/>
  <c r="A305" i="3"/>
  <c r="J304" i="3"/>
  <c r="I304" i="3"/>
  <c r="H304" i="3"/>
  <c r="A304" i="3"/>
  <c r="B304" i="3" s="1"/>
  <c r="J303" i="3"/>
  <c r="I303" i="3"/>
  <c r="H303" i="3"/>
  <c r="A303" i="3"/>
  <c r="B303" i="3" s="1"/>
  <c r="J302" i="3"/>
  <c r="I302" i="3"/>
  <c r="H302" i="3"/>
  <c r="A302" i="3"/>
  <c r="B302" i="3" s="1"/>
  <c r="J301" i="3"/>
  <c r="I301" i="3"/>
  <c r="H301" i="3"/>
  <c r="E301" i="3"/>
  <c r="C301" i="3"/>
  <c r="B301" i="3"/>
  <c r="D301" i="3" s="1"/>
  <c r="A301" i="3"/>
  <c r="J300" i="3"/>
  <c r="I300" i="3"/>
  <c r="H300" i="3"/>
  <c r="E300" i="3"/>
  <c r="A300" i="3"/>
  <c r="B300" i="3" s="1"/>
  <c r="J299" i="3"/>
  <c r="I299" i="3"/>
  <c r="H299" i="3"/>
  <c r="A299" i="3"/>
  <c r="B299" i="3" s="1"/>
  <c r="J298" i="3"/>
  <c r="I298" i="3"/>
  <c r="H298" i="3"/>
  <c r="A298" i="3"/>
  <c r="B298" i="3" s="1"/>
  <c r="J297" i="3"/>
  <c r="I297" i="3"/>
  <c r="H297" i="3"/>
  <c r="E297" i="3"/>
  <c r="C297" i="3"/>
  <c r="B297" i="3"/>
  <c r="D297" i="3" s="1"/>
  <c r="G297" i="3" s="1"/>
  <c r="A297" i="3"/>
  <c r="J296" i="3"/>
  <c r="I296" i="3"/>
  <c r="H296" i="3"/>
  <c r="E296" i="3"/>
  <c r="A296" i="3"/>
  <c r="B296" i="3" s="1"/>
  <c r="J295" i="3"/>
  <c r="I295" i="3"/>
  <c r="H295" i="3"/>
  <c r="B295" i="3"/>
  <c r="A295" i="3"/>
  <c r="J294" i="3"/>
  <c r="I294" i="3"/>
  <c r="H294" i="3"/>
  <c r="A294" i="3"/>
  <c r="B294" i="3" s="1"/>
  <c r="J293" i="3"/>
  <c r="I293" i="3"/>
  <c r="H293" i="3"/>
  <c r="F293" i="3"/>
  <c r="E293" i="3"/>
  <c r="C293" i="3"/>
  <c r="B293" i="3"/>
  <c r="D293" i="3" s="1"/>
  <c r="G293" i="3" s="1"/>
  <c r="A293" i="3"/>
  <c r="J292" i="3"/>
  <c r="I292" i="3"/>
  <c r="H292" i="3"/>
  <c r="A292" i="3"/>
  <c r="B292" i="3" s="1"/>
  <c r="J291" i="3"/>
  <c r="I291" i="3"/>
  <c r="H291" i="3"/>
  <c r="B291" i="3"/>
  <c r="A291" i="3"/>
  <c r="J290" i="3"/>
  <c r="I290" i="3"/>
  <c r="H290" i="3"/>
  <c r="D290" i="3"/>
  <c r="C290" i="3"/>
  <c r="A290" i="3"/>
  <c r="B290" i="3" s="1"/>
  <c r="E290" i="3" s="1"/>
  <c r="J289" i="3"/>
  <c r="I289" i="3"/>
  <c r="H289" i="3"/>
  <c r="F289" i="3"/>
  <c r="E289" i="3"/>
  <c r="C289" i="3"/>
  <c r="B289" i="3"/>
  <c r="D289" i="3" s="1"/>
  <c r="G289" i="3" s="1"/>
  <c r="A289" i="3"/>
  <c r="J288" i="3"/>
  <c r="I288" i="3"/>
  <c r="H288" i="3"/>
  <c r="A288" i="3"/>
  <c r="B288" i="3" s="1"/>
  <c r="J287" i="3"/>
  <c r="I287" i="3"/>
  <c r="H287" i="3"/>
  <c r="A287" i="3"/>
  <c r="B287" i="3" s="1"/>
  <c r="J286" i="3"/>
  <c r="I286" i="3"/>
  <c r="H286" i="3"/>
  <c r="C286" i="3"/>
  <c r="A286" i="3"/>
  <c r="B286" i="3" s="1"/>
  <c r="E286" i="3" s="1"/>
  <c r="J285" i="3"/>
  <c r="I285" i="3"/>
  <c r="H285" i="3"/>
  <c r="E285" i="3"/>
  <c r="C285" i="3"/>
  <c r="B285" i="3"/>
  <c r="D285" i="3" s="1"/>
  <c r="G285" i="3" s="1"/>
  <c r="A285" i="3"/>
  <c r="J284" i="3"/>
  <c r="I284" i="3"/>
  <c r="H284" i="3"/>
  <c r="E284" i="3"/>
  <c r="A284" i="3"/>
  <c r="B284" i="3" s="1"/>
  <c r="J283" i="3"/>
  <c r="I283" i="3"/>
  <c r="H283" i="3"/>
  <c r="A283" i="3"/>
  <c r="B283" i="3" s="1"/>
  <c r="J282" i="3"/>
  <c r="I282" i="3"/>
  <c r="H282" i="3"/>
  <c r="A282" i="3"/>
  <c r="B282" i="3" s="1"/>
  <c r="J281" i="3"/>
  <c r="I281" i="3"/>
  <c r="H281" i="3"/>
  <c r="F281" i="3"/>
  <c r="E281" i="3"/>
  <c r="C281" i="3"/>
  <c r="B281" i="3"/>
  <c r="D281" i="3" s="1"/>
  <c r="G281" i="3" s="1"/>
  <c r="A281" i="3"/>
  <c r="J280" i="3"/>
  <c r="I280" i="3"/>
  <c r="H280" i="3"/>
  <c r="E280" i="3"/>
  <c r="A280" i="3"/>
  <c r="B280" i="3" s="1"/>
  <c r="J279" i="3"/>
  <c r="I279" i="3"/>
  <c r="H279" i="3"/>
  <c r="B279" i="3"/>
  <c r="A279" i="3"/>
  <c r="J278" i="3"/>
  <c r="I278" i="3"/>
  <c r="H278" i="3"/>
  <c r="D278" i="3"/>
  <c r="A278" i="3"/>
  <c r="B278" i="3" s="1"/>
  <c r="J277" i="3"/>
  <c r="I277" i="3"/>
  <c r="H277" i="3"/>
  <c r="F277" i="3"/>
  <c r="E277" i="3"/>
  <c r="C277" i="3"/>
  <c r="A277" i="3"/>
  <c r="B277" i="3" s="1"/>
  <c r="D277" i="3" s="1"/>
  <c r="G277" i="3" s="1"/>
  <c r="J276" i="3"/>
  <c r="I276" i="3"/>
  <c r="H276" i="3"/>
  <c r="E276" i="3"/>
  <c r="A276" i="3"/>
  <c r="B276" i="3" s="1"/>
  <c r="J275" i="3"/>
  <c r="I275" i="3"/>
  <c r="H275" i="3"/>
  <c r="B275" i="3"/>
  <c r="A275" i="3"/>
  <c r="J274" i="3"/>
  <c r="I274" i="3"/>
  <c r="H274" i="3"/>
  <c r="E274" i="3"/>
  <c r="A274" i="3"/>
  <c r="B274" i="3" s="1"/>
  <c r="C274" i="3" s="1"/>
  <c r="J273" i="3"/>
  <c r="I273" i="3"/>
  <c r="H273" i="3"/>
  <c r="A273" i="3"/>
  <c r="B273" i="3" s="1"/>
  <c r="J272" i="3"/>
  <c r="I272" i="3"/>
  <c r="H272" i="3"/>
  <c r="A272" i="3"/>
  <c r="B272" i="3" s="1"/>
  <c r="J271" i="3"/>
  <c r="I271" i="3"/>
  <c r="H271" i="3"/>
  <c r="A271" i="3"/>
  <c r="B271" i="3" s="1"/>
  <c r="J270" i="3"/>
  <c r="I270" i="3"/>
  <c r="H270" i="3"/>
  <c r="E270" i="3"/>
  <c r="D270" i="3"/>
  <c r="C270" i="3"/>
  <c r="A270" i="3"/>
  <c r="B270" i="3" s="1"/>
  <c r="J269" i="3"/>
  <c r="I269" i="3"/>
  <c r="H269" i="3"/>
  <c r="G269" i="3"/>
  <c r="F269" i="3"/>
  <c r="E269" i="3"/>
  <c r="C269" i="3"/>
  <c r="A269" i="3"/>
  <c r="B269" i="3" s="1"/>
  <c r="D269" i="3" s="1"/>
  <c r="J268" i="3"/>
  <c r="I268" i="3"/>
  <c r="H268" i="3"/>
  <c r="E268" i="3"/>
  <c r="A268" i="3"/>
  <c r="B268" i="3" s="1"/>
  <c r="J267" i="3"/>
  <c r="I267" i="3"/>
  <c r="H267" i="3"/>
  <c r="B267" i="3"/>
  <c r="A267" i="3"/>
  <c r="J266" i="3"/>
  <c r="I266" i="3"/>
  <c r="H266" i="3"/>
  <c r="G266" i="3"/>
  <c r="E266" i="3"/>
  <c r="D266" i="3"/>
  <c r="F266" i="3" s="1"/>
  <c r="C266" i="3"/>
  <c r="A266" i="3"/>
  <c r="B266" i="3" s="1"/>
  <c r="J265" i="3"/>
  <c r="I265" i="3"/>
  <c r="H265" i="3"/>
  <c r="G265" i="3"/>
  <c r="F265" i="3"/>
  <c r="E265" i="3"/>
  <c r="C265" i="3"/>
  <c r="A265" i="3"/>
  <c r="B265" i="3" s="1"/>
  <c r="D265" i="3" s="1"/>
  <c r="J264" i="3"/>
  <c r="I264" i="3"/>
  <c r="H264" i="3"/>
  <c r="G264" i="3"/>
  <c r="E264" i="3"/>
  <c r="D264" i="3"/>
  <c r="F264" i="3" s="1"/>
  <c r="C264" i="3"/>
  <c r="A264" i="3"/>
  <c r="B264" i="3" s="1"/>
  <c r="J263" i="3"/>
  <c r="I263" i="3"/>
  <c r="H263" i="3"/>
  <c r="A263" i="3"/>
  <c r="B263" i="3" s="1"/>
  <c r="D263" i="3" s="1"/>
  <c r="F263" i="3" s="1"/>
  <c r="J262" i="3"/>
  <c r="I262" i="3"/>
  <c r="H262" i="3"/>
  <c r="A262" i="3"/>
  <c r="B262" i="3" s="1"/>
  <c r="C262" i="3" s="1"/>
  <c r="J261" i="3"/>
  <c r="I261" i="3"/>
  <c r="H261" i="3"/>
  <c r="E261" i="3"/>
  <c r="B261" i="3"/>
  <c r="A261" i="3"/>
  <c r="J260" i="3"/>
  <c r="I260" i="3"/>
  <c r="H260" i="3"/>
  <c r="G260" i="3"/>
  <c r="E260" i="3"/>
  <c r="D260" i="3"/>
  <c r="F260" i="3" s="1"/>
  <c r="C260" i="3"/>
  <c r="A260" i="3"/>
  <c r="B260" i="3" s="1"/>
  <c r="J259" i="3"/>
  <c r="I259" i="3"/>
  <c r="H259" i="3"/>
  <c r="C259" i="3"/>
  <c r="A259" i="3"/>
  <c r="B259" i="3" s="1"/>
  <c r="J258" i="3"/>
  <c r="I258" i="3"/>
  <c r="H258" i="3"/>
  <c r="A258" i="3"/>
  <c r="B258" i="3" s="1"/>
  <c r="J257" i="3"/>
  <c r="I257" i="3"/>
  <c r="H257" i="3"/>
  <c r="B257" i="3"/>
  <c r="A257" i="3"/>
  <c r="J256" i="3"/>
  <c r="I256" i="3"/>
  <c r="H256" i="3"/>
  <c r="E256" i="3"/>
  <c r="C256" i="3"/>
  <c r="A256" i="3"/>
  <c r="B256" i="3" s="1"/>
  <c r="D256" i="3" s="1"/>
  <c r="J255" i="3"/>
  <c r="I255" i="3"/>
  <c r="H255" i="3"/>
  <c r="B255" i="3"/>
  <c r="A255" i="3"/>
  <c r="J254" i="3"/>
  <c r="I254" i="3"/>
  <c r="H254" i="3"/>
  <c r="D254" i="3"/>
  <c r="C254" i="3"/>
  <c r="A254" i="3"/>
  <c r="B254" i="3" s="1"/>
  <c r="E254" i="3" s="1"/>
  <c r="J253" i="3"/>
  <c r="I253" i="3"/>
  <c r="H253" i="3"/>
  <c r="C253" i="3"/>
  <c r="A253" i="3"/>
  <c r="B253" i="3" s="1"/>
  <c r="D253" i="3" s="1"/>
  <c r="F253" i="3" s="1"/>
  <c r="J252" i="3"/>
  <c r="I252" i="3"/>
  <c r="H252" i="3"/>
  <c r="E252" i="3"/>
  <c r="A252" i="3"/>
  <c r="B252" i="3" s="1"/>
  <c r="C252" i="3" s="1"/>
  <c r="J251" i="3"/>
  <c r="I251" i="3"/>
  <c r="H251" i="3"/>
  <c r="B251" i="3"/>
  <c r="A251" i="3"/>
  <c r="J250" i="3"/>
  <c r="I250" i="3"/>
  <c r="H250" i="3"/>
  <c r="E250" i="3"/>
  <c r="A250" i="3"/>
  <c r="B250" i="3" s="1"/>
  <c r="D250" i="3" s="1"/>
  <c r="F250" i="3" s="1"/>
  <c r="J249" i="3"/>
  <c r="I249" i="3"/>
  <c r="H249" i="3"/>
  <c r="C249" i="3"/>
  <c r="B249" i="3"/>
  <c r="A249" i="3"/>
  <c r="J248" i="3"/>
  <c r="I248" i="3"/>
  <c r="H248" i="3"/>
  <c r="E248" i="3"/>
  <c r="D248" i="3"/>
  <c r="C248" i="3"/>
  <c r="A248" i="3"/>
  <c r="B248" i="3" s="1"/>
  <c r="J247" i="3"/>
  <c r="I247" i="3"/>
  <c r="H247" i="3"/>
  <c r="G247" i="3"/>
  <c r="E247" i="3"/>
  <c r="C247" i="3"/>
  <c r="A247" i="3"/>
  <c r="B247" i="3" s="1"/>
  <c r="D247" i="3" s="1"/>
  <c r="F247" i="3" s="1"/>
  <c r="J246" i="3"/>
  <c r="I246" i="3"/>
  <c r="H246" i="3"/>
  <c r="E246" i="3"/>
  <c r="A246" i="3"/>
  <c r="B246" i="3" s="1"/>
  <c r="C246" i="3" s="1"/>
  <c r="J245" i="3"/>
  <c r="I245" i="3"/>
  <c r="H245" i="3"/>
  <c r="B245" i="3"/>
  <c r="A245" i="3"/>
  <c r="J244" i="3"/>
  <c r="I244" i="3"/>
  <c r="H244" i="3"/>
  <c r="G244" i="3"/>
  <c r="E244" i="3"/>
  <c r="D244" i="3"/>
  <c r="F244" i="3" s="1"/>
  <c r="C244" i="3"/>
  <c r="A244" i="3"/>
  <c r="B244" i="3" s="1"/>
  <c r="J243" i="3"/>
  <c r="I243" i="3"/>
  <c r="H243" i="3"/>
  <c r="A243" i="3"/>
  <c r="B243" i="3" s="1"/>
  <c r="J242" i="3"/>
  <c r="I242" i="3"/>
  <c r="H242" i="3"/>
  <c r="D242" i="3"/>
  <c r="F242" i="3" s="1"/>
  <c r="A242" i="3"/>
  <c r="B242" i="3" s="1"/>
  <c r="J241" i="3"/>
  <c r="I241" i="3"/>
  <c r="H241" i="3"/>
  <c r="A241" i="3"/>
  <c r="B241" i="3" s="1"/>
  <c r="J240" i="3"/>
  <c r="I240" i="3"/>
  <c r="H240" i="3"/>
  <c r="A240" i="3"/>
  <c r="B240" i="3" s="1"/>
  <c r="J239" i="3"/>
  <c r="I239" i="3"/>
  <c r="H239" i="3"/>
  <c r="C239" i="3"/>
  <c r="B239" i="3"/>
  <c r="A239" i="3"/>
  <c r="J238" i="3"/>
  <c r="I238" i="3"/>
  <c r="H238" i="3"/>
  <c r="D238" i="3"/>
  <c r="A238" i="3"/>
  <c r="B238" i="3" s="1"/>
  <c r="C238" i="3" s="1"/>
  <c r="J237" i="3"/>
  <c r="I237" i="3"/>
  <c r="H237" i="3"/>
  <c r="B237" i="3"/>
  <c r="A237" i="3"/>
  <c r="J236" i="3"/>
  <c r="I236" i="3"/>
  <c r="H236" i="3"/>
  <c r="B236" i="3"/>
  <c r="A236" i="3"/>
  <c r="J235" i="3"/>
  <c r="I235" i="3"/>
  <c r="H235" i="3"/>
  <c r="B235" i="3"/>
  <c r="A235" i="3"/>
  <c r="J234" i="3"/>
  <c r="I234" i="3"/>
  <c r="H234" i="3"/>
  <c r="A234" i="3"/>
  <c r="B234" i="3" s="1"/>
  <c r="J233" i="3"/>
  <c r="I233" i="3"/>
  <c r="H233" i="3"/>
  <c r="E233" i="3"/>
  <c r="B233" i="3"/>
  <c r="D233" i="3" s="1"/>
  <c r="G233" i="3" s="1"/>
  <c r="A233" i="3"/>
  <c r="J232" i="3"/>
  <c r="I232" i="3"/>
  <c r="H232" i="3"/>
  <c r="E232" i="3"/>
  <c r="B232" i="3"/>
  <c r="C232" i="3" s="1"/>
  <c r="A232" i="3"/>
  <c r="J231" i="3"/>
  <c r="I231" i="3"/>
  <c r="H231" i="3"/>
  <c r="A231" i="3"/>
  <c r="B231" i="3" s="1"/>
  <c r="J230" i="3"/>
  <c r="I230" i="3"/>
  <c r="H230" i="3"/>
  <c r="D230" i="3"/>
  <c r="G230" i="3" s="1"/>
  <c r="A230" i="3"/>
  <c r="B230" i="3" s="1"/>
  <c r="E230" i="3" s="1"/>
  <c r="J229" i="3"/>
  <c r="I229" i="3"/>
  <c r="H229" i="3"/>
  <c r="F229" i="3"/>
  <c r="E229" i="3"/>
  <c r="C229" i="3"/>
  <c r="B229" i="3"/>
  <c r="D229" i="3" s="1"/>
  <c r="G229" i="3" s="1"/>
  <c r="A229" i="3"/>
  <c r="J228" i="3"/>
  <c r="I228" i="3"/>
  <c r="H228" i="3"/>
  <c r="G228" i="3"/>
  <c r="E228" i="3"/>
  <c r="D228" i="3"/>
  <c r="F228" i="3" s="1"/>
  <c r="B228" i="3"/>
  <c r="C228" i="3" s="1"/>
  <c r="A228" i="3"/>
  <c r="J227" i="3"/>
  <c r="I227" i="3"/>
  <c r="H227" i="3"/>
  <c r="A227" i="3"/>
  <c r="B227" i="3" s="1"/>
  <c r="J226" i="3"/>
  <c r="I226" i="3"/>
  <c r="H226" i="3"/>
  <c r="F226" i="3"/>
  <c r="D226" i="3"/>
  <c r="G226" i="3" s="1"/>
  <c r="C226" i="3"/>
  <c r="A226" i="3"/>
  <c r="B226" i="3" s="1"/>
  <c r="E226" i="3" s="1"/>
  <c r="J225" i="3"/>
  <c r="I225" i="3"/>
  <c r="H225" i="3"/>
  <c r="B225" i="3"/>
  <c r="A225" i="3"/>
  <c r="J224" i="3"/>
  <c r="I224" i="3"/>
  <c r="H224" i="3"/>
  <c r="B224" i="3"/>
  <c r="A224" i="3"/>
  <c r="J223" i="3"/>
  <c r="I223" i="3"/>
  <c r="H223" i="3"/>
  <c r="B223" i="3"/>
  <c r="A223" i="3"/>
  <c r="J222" i="3"/>
  <c r="I222" i="3"/>
  <c r="H222" i="3"/>
  <c r="D222" i="3"/>
  <c r="A222" i="3"/>
  <c r="B222" i="3" s="1"/>
  <c r="J221" i="3"/>
  <c r="I221" i="3"/>
  <c r="H221" i="3"/>
  <c r="F221" i="3"/>
  <c r="E221" i="3"/>
  <c r="C221" i="3"/>
  <c r="B221" i="3"/>
  <c r="D221" i="3" s="1"/>
  <c r="G221" i="3" s="1"/>
  <c r="A221" i="3"/>
  <c r="J220" i="3"/>
  <c r="I220" i="3"/>
  <c r="H220" i="3"/>
  <c r="E220" i="3"/>
  <c r="D220" i="3"/>
  <c r="B220" i="3"/>
  <c r="C220" i="3" s="1"/>
  <c r="A220" i="3"/>
  <c r="J219" i="3"/>
  <c r="I219" i="3"/>
  <c r="H219" i="3"/>
  <c r="A219" i="3"/>
  <c r="B219" i="3" s="1"/>
  <c r="J218" i="3"/>
  <c r="I218" i="3"/>
  <c r="H218" i="3"/>
  <c r="D218" i="3"/>
  <c r="G218" i="3" s="1"/>
  <c r="C218" i="3"/>
  <c r="A218" i="3"/>
  <c r="B218" i="3" s="1"/>
  <c r="E218" i="3" s="1"/>
  <c r="J217" i="3"/>
  <c r="I217" i="3"/>
  <c r="H217" i="3"/>
  <c r="B217" i="3"/>
  <c r="A217" i="3"/>
  <c r="J216" i="3"/>
  <c r="I216" i="3"/>
  <c r="H216" i="3"/>
  <c r="B216" i="3"/>
  <c r="A216" i="3"/>
  <c r="J215" i="3"/>
  <c r="I215" i="3"/>
  <c r="H215" i="3"/>
  <c r="B215" i="3"/>
  <c r="A215" i="3"/>
  <c r="J214" i="3"/>
  <c r="I214" i="3"/>
  <c r="H214" i="3"/>
  <c r="A214" i="3"/>
  <c r="B214" i="3" s="1"/>
  <c r="J213" i="3"/>
  <c r="I213" i="3"/>
  <c r="H213" i="3"/>
  <c r="E213" i="3"/>
  <c r="B213" i="3"/>
  <c r="D213" i="3" s="1"/>
  <c r="G213" i="3" s="1"/>
  <c r="A213" i="3"/>
  <c r="J212" i="3"/>
  <c r="I212" i="3"/>
  <c r="H212" i="3"/>
  <c r="E212" i="3"/>
  <c r="B212" i="3"/>
  <c r="C212" i="3" s="1"/>
  <c r="A212" i="3"/>
  <c r="J211" i="3"/>
  <c r="I211" i="3"/>
  <c r="H211" i="3"/>
  <c r="B211" i="3"/>
  <c r="A211" i="3"/>
  <c r="J210" i="3"/>
  <c r="I210" i="3"/>
  <c r="H210" i="3"/>
  <c r="D210" i="3"/>
  <c r="A210" i="3"/>
  <c r="B210" i="3" s="1"/>
  <c r="J209" i="3"/>
  <c r="I209" i="3"/>
  <c r="H209" i="3"/>
  <c r="C209" i="3"/>
  <c r="B209" i="3"/>
  <c r="D209" i="3" s="1"/>
  <c r="G209" i="3" s="1"/>
  <c r="A209" i="3"/>
  <c r="J208" i="3"/>
  <c r="I208" i="3"/>
  <c r="H208" i="3"/>
  <c r="D208" i="3"/>
  <c r="B208" i="3"/>
  <c r="C208" i="3" s="1"/>
  <c r="A208" i="3"/>
  <c r="J207" i="3"/>
  <c r="I207" i="3"/>
  <c r="H207" i="3"/>
  <c r="A207" i="3"/>
  <c r="B207" i="3" s="1"/>
  <c r="D207" i="3" s="1"/>
  <c r="J206" i="3"/>
  <c r="I206" i="3"/>
  <c r="H206" i="3"/>
  <c r="C206" i="3"/>
  <c r="A206" i="3"/>
  <c r="B206" i="3" s="1"/>
  <c r="E206" i="3" s="1"/>
  <c r="J205" i="3"/>
  <c r="I205" i="3"/>
  <c r="H205" i="3"/>
  <c r="B205" i="3"/>
  <c r="A205" i="3"/>
  <c r="J204" i="3"/>
  <c r="I204" i="3"/>
  <c r="H204" i="3"/>
  <c r="B204" i="3"/>
  <c r="A204" i="3"/>
  <c r="J203" i="3"/>
  <c r="I203" i="3"/>
  <c r="H203" i="3"/>
  <c r="B203" i="3"/>
  <c r="A203" i="3"/>
  <c r="J202" i="3"/>
  <c r="I202" i="3"/>
  <c r="H202" i="3"/>
  <c r="A202" i="3"/>
  <c r="B202" i="3" s="1"/>
  <c r="J201" i="3"/>
  <c r="I201" i="3"/>
  <c r="H201" i="3"/>
  <c r="E201" i="3"/>
  <c r="B201" i="3"/>
  <c r="D201" i="3" s="1"/>
  <c r="G201" i="3" s="1"/>
  <c r="A201" i="3"/>
  <c r="J200" i="3"/>
  <c r="I200" i="3"/>
  <c r="H200" i="3"/>
  <c r="E200" i="3"/>
  <c r="B200" i="3"/>
  <c r="C200" i="3" s="1"/>
  <c r="A200" i="3"/>
  <c r="J199" i="3"/>
  <c r="I199" i="3"/>
  <c r="H199" i="3"/>
  <c r="A199" i="3"/>
  <c r="B199" i="3" s="1"/>
  <c r="J198" i="3"/>
  <c r="I198" i="3"/>
  <c r="H198" i="3"/>
  <c r="D198" i="3"/>
  <c r="A198" i="3"/>
  <c r="B198" i="3" s="1"/>
  <c r="E198" i="3" s="1"/>
  <c r="J197" i="3"/>
  <c r="I197" i="3"/>
  <c r="H197" i="3"/>
  <c r="F197" i="3"/>
  <c r="E197" i="3"/>
  <c r="C197" i="3"/>
  <c r="B197" i="3"/>
  <c r="D197" i="3" s="1"/>
  <c r="G197" i="3" s="1"/>
  <c r="A197" i="3"/>
  <c r="J196" i="3"/>
  <c r="I196" i="3"/>
  <c r="H196" i="3"/>
  <c r="E196" i="3"/>
  <c r="D196" i="3"/>
  <c r="B196" i="3"/>
  <c r="C196" i="3" s="1"/>
  <c r="A196" i="3"/>
  <c r="J195" i="3"/>
  <c r="I195" i="3"/>
  <c r="H195" i="3"/>
  <c r="A195" i="3"/>
  <c r="B195" i="3" s="1"/>
  <c r="J194" i="3"/>
  <c r="I194" i="3"/>
  <c r="H194" i="3"/>
  <c r="F194" i="3"/>
  <c r="D194" i="3"/>
  <c r="G194" i="3" s="1"/>
  <c r="C194" i="3"/>
  <c r="A194" i="3"/>
  <c r="B194" i="3" s="1"/>
  <c r="E194" i="3" s="1"/>
  <c r="J193" i="3"/>
  <c r="I193" i="3"/>
  <c r="H193" i="3"/>
  <c r="B193" i="3"/>
  <c r="A193" i="3"/>
  <c r="J192" i="3"/>
  <c r="I192" i="3"/>
  <c r="H192" i="3"/>
  <c r="B192" i="3"/>
  <c r="A192" i="3"/>
  <c r="J191" i="3"/>
  <c r="I191" i="3"/>
  <c r="H191" i="3"/>
  <c r="B191" i="3"/>
  <c r="A191" i="3"/>
  <c r="J190" i="3"/>
  <c r="I190" i="3"/>
  <c r="H190" i="3"/>
  <c r="F190" i="3"/>
  <c r="D190" i="3"/>
  <c r="G190" i="3" s="1"/>
  <c r="A190" i="3"/>
  <c r="B190" i="3" s="1"/>
  <c r="J189" i="3"/>
  <c r="I189" i="3"/>
  <c r="H189" i="3"/>
  <c r="F189" i="3"/>
  <c r="E189" i="3"/>
  <c r="C189" i="3"/>
  <c r="B189" i="3"/>
  <c r="D189" i="3" s="1"/>
  <c r="G189" i="3" s="1"/>
  <c r="A189" i="3"/>
  <c r="J188" i="3"/>
  <c r="I188" i="3"/>
  <c r="H188" i="3"/>
  <c r="E188" i="3"/>
  <c r="D188" i="3"/>
  <c r="B188" i="3"/>
  <c r="C188" i="3" s="1"/>
  <c r="A188" i="3"/>
  <c r="J187" i="3"/>
  <c r="I187" i="3"/>
  <c r="H187" i="3"/>
  <c r="D187" i="3"/>
  <c r="G187" i="3" s="1"/>
  <c r="A187" i="3"/>
  <c r="B187" i="3" s="1"/>
  <c r="J186" i="3"/>
  <c r="I186" i="3"/>
  <c r="H186" i="3"/>
  <c r="D186" i="3"/>
  <c r="C186" i="3"/>
  <c r="A186" i="3"/>
  <c r="B186" i="3" s="1"/>
  <c r="E186" i="3" s="1"/>
  <c r="J185" i="3"/>
  <c r="I185" i="3"/>
  <c r="H185" i="3"/>
  <c r="B185" i="3"/>
  <c r="A185" i="3"/>
  <c r="J184" i="3"/>
  <c r="I184" i="3"/>
  <c r="H184" i="3"/>
  <c r="B184" i="3"/>
  <c r="A184" i="3"/>
  <c r="J183" i="3"/>
  <c r="I183" i="3"/>
  <c r="H183" i="3"/>
  <c r="B183" i="3"/>
  <c r="A183" i="3"/>
  <c r="J182" i="3"/>
  <c r="I182" i="3"/>
  <c r="H182" i="3"/>
  <c r="A182" i="3"/>
  <c r="B182" i="3" s="1"/>
  <c r="J181" i="3"/>
  <c r="I181" i="3"/>
  <c r="H181" i="3"/>
  <c r="E181" i="3"/>
  <c r="C181" i="3"/>
  <c r="B181" i="3"/>
  <c r="D181" i="3" s="1"/>
  <c r="A181" i="3"/>
  <c r="J180" i="3"/>
  <c r="I180" i="3"/>
  <c r="H180" i="3"/>
  <c r="B180" i="3"/>
  <c r="A180" i="3"/>
  <c r="J179" i="3"/>
  <c r="I179" i="3"/>
  <c r="H179" i="3"/>
  <c r="B179" i="3"/>
  <c r="A179" i="3"/>
  <c r="J178" i="3"/>
  <c r="I178" i="3"/>
  <c r="H178" i="3"/>
  <c r="D178" i="3"/>
  <c r="C178" i="3"/>
  <c r="A178" i="3"/>
  <c r="B178" i="3" s="1"/>
  <c r="E178" i="3" s="1"/>
  <c r="J177" i="3"/>
  <c r="I177" i="3"/>
  <c r="H177" i="3"/>
  <c r="B177" i="3"/>
  <c r="A177" i="3"/>
  <c r="J176" i="3"/>
  <c r="I176" i="3"/>
  <c r="H176" i="3"/>
  <c r="E176" i="3"/>
  <c r="B176" i="3"/>
  <c r="C176" i="3" s="1"/>
  <c r="A176" i="3"/>
  <c r="J175" i="3"/>
  <c r="I175" i="3"/>
  <c r="H175" i="3"/>
  <c r="F175" i="3"/>
  <c r="D175" i="3"/>
  <c r="G175" i="3" s="1"/>
  <c r="A175" i="3"/>
  <c r="B175" i="3" s="1"/>
  <c r="J174" i="3"/>
  <c r="I174" i="3"/>
  <c r="H174" i="3"/>
  <c r="C174" i="3"/>
  <c r="B174" i="3"/>
  <c r="A174" i="3"/>
  <c r="J173" i="3"/>
  <c r="I173" i="3"/>
  <c r="H173" i="3"/>
  <c r="B173" i="3"/>
  <c r="D173" i="3" s="1"/>
  <c r="A173" i="3"/>
  <c r="J172" i="3"/>
  <c r="I172" i="3"/>
  <c r="H172" i="3"/>
  <c r="E172" i="3"/>
  <c r="D172" i="3"/>
  <c r="F172" i="3" s="1"/>
  <c r="B172" i="3"/>
  <c r="C172" i="3" s="1"/>
  <c r="A172" i="3"/>
  <c r="J171" i="3"/>
  <c r="I171" i="3"/>
  <c r="H171" i="3"/>
  <c r="D171" i="3"/>
  <c r="G171" i="3" s="1"/>
  <c r="A171" i="3"/>
  <c r="B171" i="3" s="1"/>
  <c r="J170" i="3"/>
  <c r="I170" i="3"/>
  <c r="H170" i="3"/>
  <c r="D170" i="3"/>
  <c r="C170" i="3"/>
  <c r="A170" i="3"/>
  <c r="B170" i="3" s="1"/>
  <c r="E170" i="3" s="1"/>
  <c r="J169" i="3"/>
  <c r="I169" i="3"/>
  <c r="H169" i="3"/>
  <c r="D169" i="3"/>
  <c r="B169" i="3"/>
  <c r="C169" i="3" s="1"/>
  <c r="A169" i="3"/>
  <c r="J168" i="3"/>
  <c r="I168" i="3"/>
  <c r="H168" i="3"/>
  <c r="E168" i="3"/>
  <c r="D168" i="3"/>
  <c r="F168" i="3" s="1"/>
  <c r="B168" i="3"/>
  <c r="C168" i="3" s="1"/>
  <c r="A168" i="3"/>
  <c r="J167" i="3"/>
  <c r="I167" i="3"/>
  <c r="H167" i="3"/>
  <c r="A167" i="3"/>
  <c r="B167" i="3" s="1"/>
  <c r="J166" i="3"/>
  <c r="I166" i="3"/>
  <c r="H166" i="3"/>
  <c r="D166" i="3"/>
  <c r="G166" i="3" s="1"/>
  <c r="A166" i="3"/>
  <c r="B166" i="3" s="1"/>
  <c r="J165" i="3"/>
  <c r="I165" i="3"/>
  <c r="H165" i="3"/>
  <c r="E165" i="3"/>
  <c r="D165" i="3"/>
  <c r="B165" i="3"/>
  <c r="C165" i="3" s="1"/>
  <c r="A165" i="3"/>
  <c r="J164" i="3"/>
  <c r="I164" i="3"/>
  <c r="H164" i="3"/>
  <c r="F164" i="3"/>
  <c r="D164" i="3"/>
  <c r="G164" i="3" s="1"/>
  <c r="B164" i="3"/>
  <c r="A164" i="3"/>
  <c r="J163" i="3"/>
  <c r="I163" i="3"/>
  <c r="H163" i="3"/>
  <c r="E163" i="3"/>
  <c r="D163" i="3"/>
  <c r="A163" i="3"/>
  <c r="B163" i="3" s="1"/>
  <c r="C163" i="3" s="1"/>
  <c r="J162" i="3"/>
  <c r="I162" i="3"/>
  <c r="H162" i="3"/>
  <c r="A162" i="3"/>
  <c r="B162" i="3" s="1"/>
  <c r="E162" i="3" s="1"/>
  <c r="J161" i="3"/>
  <c r="I161" i="3"/>
  <c r="H161" i="3"/>
  <c r="A161" i="3"/>
  <c r="B161" i="3" s="1"/>
  <c r="J160" i="3"/>
  <c r="I160" i="3"/>
  <c r="H160" i="3"/>
  <c r="D160" i="3"/>
  <c r="G160" i="3" s="1"/>
  <c r="B160" i="3"/>
  <c r="E160" i="3" s="1"/>
  <c r="A160" i="3"/>
  <c r="J159" i="3"/>
  <c r="I159" i="3"/>
  <c r="H159" i="3"/>
  <c r="E159" i="3"/>
  <c r="A159" i="3"/>
  <c r="B159" i="3" s="1"/>
  <c r="C159" i="3" s="1"/>
  <c r="J158" i="3"/>
  <c r="I158" i="3"/>
  <c r="H158" i="3"/>
  <c r="B158" i="3"/>
  <c r="A158" i="3"/>
  <c r="J157" i="3"/>
  <c r="I157" i="3"/>
  <c r="H157" i="3"/>
  <c r="A157" i="3"/>
  <c r="B157" i="3" s="1"/>
  <c r="J156" i="3"/>
  <c r="I156" i="3"/>
  <c r="H156" i="3"/>
  <c r="E156" i="3"/>
  <c r="D156" i="3"/>
  <c r="C156" i="3"/>
  <c r="B156" i="3"/>
  <c r="A156" i="3"/>
  <c r="J155" i="3"/>
  <c r="I155" i="3"/>
  <c r="H155" i="3"/>
  <c r="A155" i="3"/>
  <c r="B155" i="3" s="1"/>
  <c r="C155" i="3" s="1"/>
  <c r="J154" i="3"/>
  <c r="I154" i="3"/>
  <c r="H154" i="3"/>
  <c r="A154" i="3"/>
  <c r="B154" i="3" s="1"/>
  <c r="J153" i="3"/>
  <c r="I153" i="3"/>
  <c r="H153" i="3"/>
  <c r="F153" i="3"/>
  <c r="E153" i="3"/>
  <c r="C153" i="3"/>
  <c r="B153" i="3"/>
  <c r="D153" i="3" s="1"/>
  <c r="G153" i="3" s="1"/>
  <c r="A153" i="3"/>
  <c r="J152" i="3"/>
  <c r="I152" i="3"/>
  <c r="H152" i="3"/>
  <c r="E152" i="3"/>
  <c r="D152" i="3"/>
  <c r="F152" i="3" s="1"/>
  <c r="B152" i="3"/>
  <c r="C152" i="3" s="1"/>
  <c r="A152" i="3"/>
  <c r="J151" i="3"/>
  <c r="I151" i="3"/>
  <c r="H151" i="3"/>
  <c r="A151" i="3"/>
  <c r="B151" i="3" s="1"/>
  <c r="J150" i="3"/>
  <c r="I150" i="3"/>
  <c r="H150" i="3"/>
  <c r="D150" i="3"/>
  <c r="C150" i="3"/>
  <c r="A150" i="3"/>
  <c r="B150" i="3" s="1"/>
  <c r="E150" i="3" s="1"/>
  <c r="J149" i="3"/>
  <c r="I149" i="3"/>
  <c r="H149" i="3"/>
  <c r="D149" i="3"/>
  <c r="A149" i="3"/>
  <c r="B149" i="3" s="1"/>
  <c r="E149" i="3" s="1"/>
  <c r="J148" i="3"/>
  <c r="I148" i="3"/>
  <c r="H148" i="3"/>
  <c r="F148" i="3"/>
  <c r="E148" i="3"/>
  <c r="C148" i="3"/>
  <c r="B148" i="3"/>
  <c r="D148" i="3" s="1"/>
  <c r="G148" i="3" s="1"/>
  <c r="A148" i="3"/>
  <c r="J147" i="3"/>
  <c r="I147" i="3"/>
  <c r="H147" i="3"/>
  <c r="E147" i="3"/>
  <c r="D147" i="3"/>
  <c r="F147" i="3" s="1"/>
  <c r="B147" i="3"/>
  <c r="C147" i="3" s="1"/>
  <c r="A147" i="3"/>
  <c r="J146" i="3"/>
  <c r="I146" i="3"/>
  <c r="H146" i="3"/>
  <c r="C146" i="3"/>
  <c r="A146" i="3"/>
  <c r="B146" i="3" s="1"/>
  <c r="E146" i="3" s="1"/>
  <c r="J145" i="3"/>
  <c r="I145" i="3"/>
  <c r="H145" i="3"/>
  <c r="A145" i="3"/>
  <c r="B145" i="3" s="1"/>
  <c r="J144" i="3"/>
  <c r="I144" i="3"/>
  <c r="H144" i="3"/>
  <c r="F144" i="3"/>
  <c r="D144" i="3"/>
  <c r="G144" i="3" s="1"/>
  <c r="C144" i="3"/>
  <c r="B144" i="3"/>
  <c r="E144" i="3" s="1"/>
  <c r="A144" i="3"/>
  <c r="J143" i="3"/>
  <c r="I143" i="3"/>
  <c r="H143" i="3"/>
  <c r="E143" i="3"/>
  <c r="D143" i="3"/>
  <c r="G143" i="3" s="1"/>
  <c r="B143" i="3"/>
  <c r="C143" i="3" s="1"/>
  <c r="A143" i="3"/>
  <c r="J142" i="3"/>
  <c r="I142" i="3"/>
  <c r="H142" i="3"/>
  <c r="A142" i="3"/>
  <c r="B142" i="3" s="1"/>
  <c r="E142" i="3" s="1"/>
  <c r="J141" i="3"/>
  <c r="I141" i="3"/>
  <c r="H141" i="3"/>
  <c r="A141" i="3"/>
  <c r="B141" i="3" s="1"/>
  <c r="J140" i="3"/>
  <c r="I140" i="3"/>
  <c r="H140" i="3"/>
  <c r="G140" i="3"/>
  <c r="F140" i="3"/>
  <c r="E140" i="3"/>
  <c r="D140" i="3"/>
  <c r="C140" i="3"/>
  <c r="B140" i="3"/>
  <c r="A140" i="3"/>
  <c r="J139" i="3"/>
  <c r="I139" i="3"/>
  <c r="H139" i="3"/>
  <c r="A139" i="3"/>
  <c r="B139" i="3" s="1"/>
  <c r="J138" i="3"/>
  <c r="I138" i="3"/>
  <c r="H138" i="3"/>
  <c r="B138" i="3"/>
  <c r="A138" i="3"/>
  <c r="J137" i="3"/>
  <c r="I137" i="3"/>
  <c r="H137" i="3"/>
  <c r="A137" i="3"/>
  <c r="B137" i="3" s="1"/>
  <c r="J136" i="3"/>
  <c r="I136" i="3"/>
  <c r="H136" i="3"/>
  <c r="E136" i="3"/>
  <c r="D136" i="3"/>
  <c r="C136" i="3"/>
  <c r="B136" i="3"/>
  <c r="A136" i="3"/>
  <c r="J135" i="3"/>
  <c r="I135" i="3"/>
  <c r="H135" i="3"/>
  <c r="B135" i="3"/>
  <c r="C135" i="3" s="1"/>
  <c r="A135" i="3"/>
  <c r="J134" i="3"/>
  <c r="I134" i="3"/>
  <c r="H134" i="3"/>
  <c r="G134" i="3"/>
  <c r="F134" i="3"/>
  <c r="D134" i="3"/>
  <c r="C134" i="3"/>
  <c r="B134" i="3"/>
  <c r="E134" i="3" s="1"/>
  <c r="A134" i="3"/>
  <c r="J133" i="3"/>
  <c r="I133" i="3"/>
  <c r="H133" i="3"/>
  <c r="A133" i="3"/>
  <c r="B133" i="3" s="1"/>
  <c r="E133" i="3" s="1"/>
  <c r="J132" i="3"/>
  <c r="I132" i="3"/>
  <c r="H132" i="3"/>
  <c r="B132" i="3"/>
  <c r="D132" i="3" s="1"/>
  <c r="G132" i="3" s="1"/>
  <c r="A132" i="3"/>
  <c r="J131" i="3"/>
  <c r="I131" i="3"/>
  <c r="H131" i="3"/>
  <c r="B131" i="3"/>
  <c r="C131" i="3" s="1"/>
  <c r="A131" i="3"/>
  <c r="J130" i="3"/>
  <c r="I130" i="3"/>
  <c r="H130" i="3"/>
  <c r="B130" i="3"/>
  <c r="E130" i="3" s="1"/>
  <c r="A130" i="3"/>
  <c r="J129" i="3"/>
  <c r="I129" i="3"/>
  <c r="H129" i="3"/>
  <c r="F129" i="3"/>
  <c r="E129" i="3"/>
  <c r="D129" i="3"/>
  <c r="G129" i="3" s="1"/>
  <c r="C129" i="3"/>
  <c r="A129" i="3"/>
  <c r="B129" i="3" s="1"/>
  <c r="J128" i="3"/>
  <c r="I128" i="3"/>
  <c r="H128" i="3"/>
  <c r="G128" i="3"/>
  <c r="F128" i="3"/>
  <c r="E128" i="3"/>
  <c r="C128" i="3"/>
  <c r="B128" i="3"/>
  <c r="D128" i="3" s="1"/>
  <c r="A128" i="3"/>
  <c r="J127" i="3"/>
  <c r="I127" i="3"/>
  <c r="H127" i="3"/>
  <c r="E127" i="3"/>
  <c r="D127" i="3"/>
  <c r="F127" i="3" s="1"/>
  <c r="A127" i="3"/>
  <c r="B127" i="3" s="1"/>
  <c r="C127" i="3" s="1"/>
  <c r="J126" i="3"/>
  <c r="I126" i="3"/>
  <c r="H126" i="3"/>
  <c r="A126" i="3"/>
  <c r="B126" i="3" s="1"/>
  <c r="J125" i="3"/>
  <c r="I125" i="3"/>
  <c r="H125" i="3"/>
  <c r="B125" i="3"/>
  <c r="A125" i="3"/>
  <c r="J124" i="3"/>
  <c r="I124" i="3"/>
  <c r="H124" i="3"/>
  <c r="B124" i="3"/>
  <c r="E124" i="3" s="1"/>
  <c r="A124" i="3"/>
  <c r="J123" i="3"/>
  <c r="I123" i="3"/>
  <c r="H123" i="3"/>
  <c r="B123" i="3"/>
  <c r="C123" i="3" s="1"/>
  <c r="A123" i="3"/>
  <c r="J122" i="3"/>
  <c r="I122" i="3"/>
  <c r="H122" i="3"/>
  <c r="A122" i="3"/>
  <c r="B122" i="3" s="1"/>
  <c r="J121" i="3"/>
  <c r="I121" i="3"/>
  <c r="H121" i="3"/>
  <c r="B121" i="3"/>
  <c r="E121" i="3" s="1"/>
  <c r="A121" i="3"/>
  <c r="J120" i="3"/>
  <c r="I120" i="3"/>
  <c r="H120" i="3"/>
  <c r="D120" i="3"/>
  <c r="G120" i="3" s="1"/>
  <c r="B120" i="3"/>
  <c r="C120" i="3" s="1"/>
  <c r="A120" i="3"/>
  <c r="J119" i="3"/>
  <c r="I119" i="3"/>
  <c r="H119" i="3"/>
  <c r="D119" i="3"/>
  <c r="G119" i="3" s="1"/>
  <c r="B119" i="3"/>
  <c r="A119" i="3"/>
  <c r="J118" i="3"/>
  <c r="I118" i="3"/>
  <c r="H118" i="3"/>
  <c r="C118" i="3"/>
  <c r="B118" i="3"/>
  <c r="E118" i="3" s="1"/>
  <c r="A118" i="3"/>
  <c r="J117" i="3"/>
  <c r="I117" i="3"/>
  <c r="H117" i="3"/>
  <c r="E117" i="3"/>
  <c r="C117" i="3"/>
  <c r="B117" i="3"/>
  <c r="D117" i="3" s="1"/>
  <c r="A117" i="3"/>
  <c r="J116" i="3"/>
  <c r="I116" i="3"/>
  <c r="H116" i="3"/>
  <c r="E116" i="3"/>
  <c r="B116" i="3"/>
  <c r="C116" i="3" s="1"/>
  <c r="A116" i="3"/>
  <c r="J115" i="3"/>
  <c r="I115" i="3"/>
  <c r="H115" i="3"/>
  <c r="B115" i="3"/>
  <c r="A115" i="3"/>
  <c r="J114" i="3"/>
  <c r="I114" i="3"/>
  <c r="H114" i="3"/>
  <c r="D114" i="3"/>
  <c r="A114" i="3"/>
  <c r="B114" i="3" s="1"/>
  <c r="E114" i="3" s="1"/>
  <c r="J113" i="3"/>
  <c r="I113" i="3"/>
  <c r="H113" i="3"/>
  <c r="B113" i="3"/>
  <c r="A113" i="3"/>
  <c r="J112" i="3"/>
  <c r="I112" i="3"/>
  <c r="H112" i="3"/>
  <c r="B112" i="3"/>
  <c r="A112" i="3"/>
  <c r="J111" i="3"/>
  <c r="I111" i="3"/>
  <c r="H111" i="3"/>
  <c r="A111" i="3"/>
  <c r="B111" i="3" s="1"/>
  <c r="J110" i="3"/>
  <c r="I110" i="3"/>
  <c r="H110" i="3"/>
  <c r="A110" i="3"/>
  <c r="B110" i="3" s="1"/>
  <c r="J109" i="3"/>
  <c r="I109" i="3"/>
  <c r="H109" i="3"/>
  <c r="B109" i="3"/>
  <c r="A109" i="3"/>
  <c r="J108" i="3"/>
  <c r="I108" i="3"/>
  <c r="H108" i="3"/>
  <c r="E108" i="3"/>
  <c r="D108" i="3"/>
  <c r="C108" i="3"/>
  <c r="B108" i="3"/>
  <c r="A108" i="3"/>
  <c r="J107" i="3"/>
  <c r="I107" i="3"/>
  <c r="H107" i="3"/>
  <c r="B107" i="3"/>
  <c r="A107" i="3"/>
  <c r="J106" i="3"/>
  <c r="I106" i="3"/>
  <c r="H106" i="3"/>
  <c r="B106" i="3"/>
  <c r="A106" i="3"/>
  <c r="J105" i="3"/>
  <c r="I105" i="3"/>
  <c r="H105" i="3"/>
  <c r="D105" i="3"/>
  <c r="B105" i="3"/>
  <c r="E105" i="3" s="1"/>
  <c r="A105" i="3"/>
  <c r="J104" i="3"/>
  <c r="I104" i="3"/>
  <c r="H104" i="3"/>
  <c r="E104" i="3"/>
  <c r="D104" i="3"/>
  <c r="G104" i="3" s="1"/>
  <c r="C104" i="3"/>
  <c r="B104" i="3"/>
  <c r="A104" i="3"/>
  <c r="J103" i="3"/>
  <c r="I103" i="3"/>
  <c r="H103" i="3"/>
  <c r="E103" i="3"/>
  <c r="B103" i="3"/>
  <c r="A103" i="3"/>
  <c r="J102" i="3"/>
  <c r="I102" i="3"/>
  <c r="H102" i="3"/>
  <c r="C102" i="3"/>
  <c r="B102" i="3"/>
  <c r="A102" i="3"/>
  <c r="J101" i="3"/>
  <c r="I101" i="3"/>
  <c r="H101" i="3"/>
  <c r="G101" i="3"/>
  <c r="E101" i="3"/>
  <c r="D101" i="3"/>
  <c r="F101" i="3" s="1"/>
  <c r="B101" i="3"/>
  <c r="C101" i="3" s="1"/>
  <c r="A101" i="3"/>
  <c r="J100" i="3"/>
  <c r="I100" i="3"/>
  <c r="H100" i="3"/>
  <c r="C100" i="3"/>
  <c r="B100" i="3"/>
  <c r="E100" i="3" s="1"/>
  <c r="A100" i="3"/>
  <c r="J99" i="3"/>
  <c r="I99" i="3"/>
  <c r="H99" i="3"/>
  <c r="F99" i="3"/>
  <c r="E99" i="3"/>
  <c r="D99" i="3"/>
  <c r="G99" i="3" s="1"/>
  <c r="C99" i="3"/>
  <c r="B99" i="3"/>
  <c r="A99" i="3"/>
  <c r="J98" i="3"/>
  <c r="I98" i="3"/>
  <c r="H98" i="3"/>
  <c r="E98" i="3"/>
  <c r="B98" i="3"/>
  <c r="D98" i="3" s="1"/>
  <c r="A98" i="3"/>
  <c r="J97" i="3"/>
  <c r="I97" i="3"/>
  <c r="H97" i="3"/>
  <c r="G97" i="3"/>
  <c r="E97" i="3"/>
  <c r="D97" i="3"/>
  <c r="F97" i="3" s="1"/>
  <c r="A97" i="3"/>
  <c r="B97" i="3" s="1"/>
  <c r="C97" i="3" s="1"/>
  <c r="J96" i="3"/>
  <c r="I96" i="3"/>
  <c r="H96" i="3"/>
  <c r="B96" i="3"/>
  <c r="A96" i="3"/>
  <c r="J95" i="3"/>
  <c r="I95" i="3"/>
  <c r="H95" i="3"/>
  <c r="F95" i="3"/>
  <c r="B95" i="3"/>
  <c r="D95" i="3" s="1"/>
  <c r="G95" i="3" s="1"/>
  <c r="A95" i="3"/>
  <c r="J94" i="3"/>
  <c r="I94" i="3"/>
  <c r="H94" i="3"/>
  <c r="G94" i="3"/>
  <c r="E94" i="3"/>
  <c r="C94" i="3"/>
  <c r="B94" i="3"/>
  <c r="D94" i="3" s="1"/>
  <c r="F94" i="3" s="1"/>
  <c r="A94" i="3"/>
  <c r="J93" i="3"/>
  <c r="I93" i="3"/>
  <c r="H93" i="3"/>
  <c r="B93" i="3"/>
  <c r="A93" i="3"/>
  <c r="J92" i="3"/>
  <c r="I92" i="3"/>
  <c r="H92" i="3"/>
  <c r="D92" i="3"/>
  <c r="B92" i="3"/>
  <c r="C92" i="3" s="1"/>
  <c r="A92" i="3"/>
  <c r="J91" i="3"/>
  <c r="I91" i="3"/>
  <c r="H91" i="3"/>
  <c r="B91" i="3"/>
  <c r="A91" i="3"/>
  <c r="J90" i="3"/>
  <c r="I90" i="3"/>
  <c r="H90" i="3"/>
  <c r="G90" i="3"/>
  <c r="D90" i="3"/>
  <c r="F90" i="3" s="1"/>
  <c r="C90" i="3"/>
  <c r="B90" i="3"/>
  <c r="E90" i="3" s="1"/>
  <c r="A90" i="3"/>
  <c r="J89" i="3"/>
  <c r="I89" i="3"/>
  <c r="H89" i="3"/>
  <c r="D89" i="3"/>
  <c r="A89" i="3"/>
  <c r="B89" i="3" s="1"/>
  <c r="J88" i="3"/>
  <c r="I88" i="3"/>
  <c r="H88" i="3"/>
  <c r="E88" i="3"/>
  <c r="C88" i="3"/>
  <c r="B88" i="3"/>
  <c r="D88" i="3" s="1"/>
  <c r="G88" i="3" s="1"/>
  <c r="A88" i="3"/>
  <c r="J87" i="3"/>
  <c r="I87" i="3"/>
  <c r="H87" i="3"/>
  <c r="B87" i="3"/>
  <c r="A87" i="3"/>
  <c r="J86" i="3"/>
  <c r="I86" i="3"/>
  <c r="H86" i="3"/>
  <c r="C86" i="3"/>
  <c r="A86" i="3"/>
  <c r="B86" i="3" s="1"/>
  <c r="J85" i="3"/>
  <c r="I85" i="3"/>
  <c r="H85" i="3"/>
  <c r="A85" i="3"/>
  <c r="B85" i="3" s="1"/>
  <c r="J84" i="3"/>
  <c r="I84" i="3"/>
  <c r="H84" i="3"/>
  <c r="F84" i="3"/>
  <c r="E84" i="3"/>
  <c r="D84" i="3"/>
  <c r="G84" i="3" s="1"/>
  <c r="C84" i="3"/>
  <c r="B84" i="3"/>
  <c r="A84" i="3"/>
  <c r="J83" i="3"/>
  <c r="I83" i="3"/>
  <c r="H83" i="3"/>
  <c r="E83" i="3"/>
  <c r="A83" i="3"/>
  <c r="B83" i="3" s="1"/>
  <c r="J82" i="3"/>
  <c r="I82" i="3"/>
  <c r="H82" i="3"/>
  <c r="B82" i="3"/>
  <c r="E82" i="3" s="1"/>
  <c r="A82" i="3"/>
  <c r="J81" i="3"/>
  <c r="I81" i="3"/>
  <c r="H81" i="3"/>
  <c r="A81" i="3"/>
  <c r="B81" i="3" s="1"/>
  <c r="J80" i="3"/>
  <c r="I80" i="3"/>
  <c r="H80" i="3"/>
  <c r="E80" i="3"/>
  <c r="C80" i="3"/>
  <c r="B80" i="3"/>
  <c r="D80" i="3" s="1"/>
  <c r="A80" i="3"/>
  <c r="J79" i="3"/>
  <c r="I79" i="3"/>
  <c r="H79" i="3"/>
  <c r="A79" i="3"/>
  <c r="B79" i="3" s="1"/>
  <c r="J78" i="3"/>
  <c r="I78" i="3"/>
  <c r="H78" i="3"/>
  <c r="B78" i="3"/>
  <c r="A78" i="3"/>
  <c r="J77" i="3"/>
  <c r="I77" i="3"/>
  <c r="H77" i="3"/>
  <c r="F77" i="3"/>
  <c r="E77" i="3"/>
  <c r="D77" i="3"/>
  <c r="G77" i="3" s="1"/>
  <c r="C77" i="3"/>
  <c r="B77" i="3"/>
  <c r="A77" i="3"/>
  <c r="J76" i="3"/>
  <c r="I76" i="3"/>
  <c r="H76" i="3"/>
  <c r="E76" i="3"/>
  <c r="B76" i="3"/>
  <c r="D76" i="3" s="1"/>
  <c r="A76" i="3"/>
  <c r="J75" i="3"/>
  <c r="I75" i="3"/>
  <c r="H75" i="3"/>
  <c r="A75" i="3"/>
  <c r="B75" i="3" s="1"/>
  <c r="J74" i="3"/>
  <c r="I74" i="3"/>
  <c r="H74" i="3"/>
  <c r="B74" i="3"/>
  <c r="A74" i="3"/>
  <c r="J73" i="3"/>
  <c r="I73" i="3"/>
  <c r="H73" i="3"/>
  <c r="C73" i="3"/>
  <c r="A73" i="3"/>
  <c r="B73" i="3" s="1"/>
  <c r="J72" i="3"/>
  <c r="I72" i="3"/>
  <c r="H72" i="3"/>
  <c r="B72" i="3"/>
  <c r="A72" i="3"/>
  <c r="J71" i="3"/>
  <c r="I71" i="3"/>
  <c r="H71" i="3"/>
  <c r="E71" i="3"/>
  <c r="D71" i="3"/>
  <c r="F71" i="3" s="1"/>
  <c r="B71" i="3"/>
  <c r="C71" i="3" s="1"/>
  <c r="A71" i="3"/>
  <c r="J70" i="3"/>
  <c r="I70" i="3"/>
  <c r="H70" i="3"/>
  <c r="A70" i="3"/>
  <c r="B70" i="3" s="1"/>
  <c r="J69" i="3"/>
  <c r="I69" i="3"/>
  <c r="H69" i="3"/>
  <c r="E69" i="3"/>
  <c r="B69" i="3"/>
  <c r="D69" i="3" s="1"/>
  <c r="A69" i="3"/>
  <c r="J68" i="3"/>
  <c r="I68" i="3"/>
  <c r="H68" i="3"/>
  <c r="B68" i="3"/>
  <c r="A68" i="3"/>
  <c r="J67" i="3"/>
  <c r="I67" i="3"/>
  <c r="H67" i="3"/>
  <c r="A67" i="3"/>
  <c r="B67" i="3" s="1"/>
  <c r="J66" i="3"/>
  <c r="I66" i="3"/>
  <c r="H66" i="3"/>
  <c r="A66" i="3"/>
  <c r="B66" i="3" s="1"/>
  <c r="D66" i="3" s="1"/>
  <c r="J65" i="3"/>
  <c r="I65" i="3"/>
  <c r="H65" i="3"/>
  <c r="B65" i="3"/>
  <c r="E65" i="3" s="1"/>
  <c r="A65" i="3"/>
  <c r="J64" i="3"/>
  <c r="I64" i="3"/>
  <c r="H64" i="3"/>
  <c r="E64" i="3"/>
  <c r="D64" i="3"/>
  <c r="F64" i="3" s="1"/>
  <c r="C64" i="3"/>
  <c r="B64" i="3"/>
  <c r="A64" i="3"/>
  <c r="J63" i="3"/>
  <c r="I63" i="3"/>
  <c r="H63" i="3"/>
  <c r="B63" i="3"/>
  <c r="C63" i="3" s="1"/>
  <c r="A63" i="3"/>
  <c r="J62" i="3"/>
  <c r="I62" i="3"/>
  <c r="H62" i="3"/>
  <c r="A62" i="3"/>
  <c r="B62" i="3" s="1"/>
  <c r="J61" i="3"/>
  <c r="I61" i="3"/>
  <c r="H61" i="3"/>
  <c r="B61" i="3"/>
  <c r="D61" i="3" s="1"/>
  <c r="A61" i="3"/>
  <c r="J60" i="3"/>
  <c r="I60" i="3"/>
  <c r="H60" i="3"/>
  <c r="D60" i="3"/>
  <c r="G60" i="3" s="1"/>
  <c r="B60" i="3"/>
  <c r="C60" i="3" s="1"/>
  <c r="A60" i="3"/>
  <c r="J59" i="3"/>
  <c r="I59" i="3"/>
  <c r="H59" i="3"/>
  <c r="B59" i="3"/>
  <c r="A59" i="3"/>
  <c r="J58" i="3"/>
  <c r="I58" i="3"/>
  <c r="H58" i="3"/>
  <c r="G58" i="3"/>
  <c r="D58" i="3"/>
  <c r="F58" i="3" s="1"/>
  <c r="C58" i="3"/>
  <c r="B58" i="3"/>
  <c r="E58" i="3" s="1"/>
  <c r="A58" i="3"/>
  <c r="J57" i="3"/>
  <c r="I57" i="3"/>
  <c r="H57" i="3"/>
  <c r="A57" i="3"/>
  <c r="B57" i="3" s="1"/>
  <c r="E57" i="3" s="1"/>
  <c r="J56" i="3"/>
  <c r="I56" i="3"/>
  <c r="H56" i="3"/>
  <c r="G56" i="3"/>
  <c r="E56" i="3"/>
  <c r="C56" i="3"/>
  <c r="B56" i="3"/>
  <c r="D56" i="3" s="1"/>
  <c r="F56" i="3" s="1"/>
  <c r="A56" i="3"/>
  <c r="J55" i="3"/>
  <c r="I55" i="3"/>
  <c r="H55" i="3"/>
  <c r="B55" i="3"/>
  <c r="E55" i="3" s="1"/>
  <c r="A55" i="3"/>
  <c r="J54" i="3"/>
  <c r="I54" i="3"/>
  <c r="H54" i="3"/>
  <c r="A54" i="3"/>
  <c r="B54" i="3" s="1"/>
  <c r="J53" i="3"/>
  <c r="I53" i="3"/>
  <c r="H53" i="3"/>
  <c r="B53" i="3"/>
  <c r="D53" i="3" s="1"/>
  <c r="A53" i="3"/>
  <c r="J52" i="3"/>
  <c r="I52" i="3"/>
  <c r="H52" i="3"/>
  <c r="B52" i="3"/>
  <c r="E52" i="3" s="1"/>
  <c r="A52" i="3"/>
  <c r="J51" i="3"/>
  <c r="I51" i="3"/>
  <c r="H51" i="3"/>
  <c r="B51" i="3"/>
  <c r="C51" i="3" s="1"/>
  <c r="A51" i="3"/>
  <c r="J50" i="3"/>
  <c r="I50" i="3"/>
  <c r="H50" i="3"/>
  <c r="B50" i="3"/>
  <c r="A50" i="3"/>
  <c r="J49" i="3"/>
  <c r="I49" i="3"/>
  <c r="H49" i="3"/>
  <c r="A49" i="3"/>
  <c r="B49" i="3" s="1"/>
  <c r="J48" i="3"/>
  <c r="I48" i="3"/>
  <c r="H48" i="3"/>
  <c r="D48" i="3"/>
  <c r="G48" i="3" s="1"/>
  <c r="C48" i="3"/>
  <c r="B48" i="3"/>
  <c r="E48" i="3" s="1"/>
  <c r="A48" i="3"/>
  <c r="J47" i="3"/>
  <c r="I47" i="3"/>
  <c r="H47" i="3"/>
  <c r="E47" i="3"/>
  <c r="D47" i="3"/>
  <c r="G47" i="3" s="1"/>
  <c r="B47" i="3"/>
  <c r="C47" i="3" s="1"/>
  <c r="A47" i="3"/>
  <c r="J46" i="3"/>
  <c r="I46" i="3"/>
  <c r="H46" i="3"/>
  <c r="B46" i="3"/>
  <c r="A46" i="3"/>
  <c r="J45" i="3"/>
  <c r="I45" i="3"/>
  <c r="H45" i="3"/>
  <c r="A45" i="3"/>
  <c r="B45" i="3" s="1"/>
  <c r="J44" i="3"/>
  <c r="I44" i="3"/>
  <c r="H44" i="3"/>
  <c r="B44" i="3"/>
  <c r="E44" i="3" s="1"/>
  <c r="A44" i="3"/>
  <c r="J43" i="3"/>
  <c r="I43" i="3"/>
  <c r="H43" i="3"/>
  <c r="B43" i="3"/>
  <c r="C43" i="3" s="1"/>
  <c r="A43" i="3"/>
  <c r="J42" i="3"/>
  <c r="I42" i="3"/>
  <c r="H42" i="3"/>
  <c r="B42" i="3"/>
  <c r="A42" i="3"/>
  <c r="J41" i="3"/>
  <c r="I41" i="3"/>
  <c r="H41" i="3"/>
  <c r="A41" i="3"/>
  <c r="B41" i="3" s="1"/>
  <c r="J40" i="3"/>
  <c r="I40" i="3"/>
  <c r="H40" i="3"/>
  <c r="B40" i="3"/>
  <c r="E40" i="3" s="1"/>
  <c r="A40" i="3"/>
  <c r="J39" i="3"/>
  <c r="I39" i="3"/>
  <c r="H39" i="3"/>
  <c r="B39" i="3"/>
  <c r="C39" i="3" s="1"/>
  <c r="A39" i="3"/>
  <c r="J38" i="3"/>
  <c r="I38" i="3"/>
  <c r="H38" i="3"/>
  <c r="B38" i="3"/>
  <c r="D38" i="3" s="1"/>
  <c r="A38" i="3"/>
  <c r="J37" i="3"/>
  <c r="I37" i="3"/>
  <c r="H37" i="3"/>
  <c r="A37" i="3"/>
  <c r="B37" i="3" s="1"/>
  <c r="J36" i="3"/>
  <c r="I36" i="3"/>
  <c r="H36" i="3"/>
  <c r="B36" i="3"/>
  <c r="E36" i="3" s="1"/>
  <c r="A36" i="3"/>
  <c r="J35" i="3"/>
  <c r="I35" i="3"/>
  <c r="H35" i="3"/>
  <c r="B35" i="3"/>
  <c r="C35" i="3" s="1"/>
  <c r="A35" i="3"/>
  <c r="J34" i="3"/>
  <c r="I34" i="3"/>
  <c r="H34" i="3"/>
  <c r="B34" i="3"/>
  <c r="A34" i="3"/>
  <c r="J33" i="3"/>
  <c r="I33" i="3"/>
  <c r="H33" i="3"/>
  <c r="A33" i="3"/>
  <c r="B33" i="3" s="1"/>
  <c r="J32" i="3"/>
  <c r="I32" i="3"/>
  <c r="H32" i="3"/>
  <c r="B32" i="3"/>
  <c r="E32" i="3" s="1"/>
  <c r="A32" i="3"/>
  <c r="J31" i="3"/>
  <c r="I31" i="3"/>
  <c r="H31" i="3"/>
  <c r="B31" i="3"/>
  <c r="C31" i="3" s="1"/>
  <c r="A31" i="3"/>
  <c r="J30" i="3"/>
  <c r="I30" i="3"/>
  <c r="H30" i="3"/>
  <c r="B30" i="3"/>
  <c r="A30" i="3"/>
  <c r="J29" i="3"/>
  <c r="I29" i="3"/>
  <c r="H29" i="3"/>
  <c r="A29" i="3"/>
  <c r="B29" i="3" s="1"/>
  <c r="J28" i="3"/>
  <c r="I28" i="3"/>
  <c r="H28" i="3"/>
  <c r="D28" i="3"/>
  <c r="G28" i="3" s="1"/>
  <c r="B28" i="3"/>
  <c r="E28" i="3" s="1"/>
  <c r="A28" i="3"/>
  <c r="J27" i="3"/>
  <c r="I27" i="3"/>
  <c r="H27" i="3"/>
  <c r="E27" i="3"/>
  <c r="B27" i="3"/>
  <c r="C27" i="3" s="1"/>
  <c r="A27" i="3"/>
  <c r="J26" i="3"/>
  <c r="I26" i="3"/>
  <c r="H26" i="3"/>
  <c r="B26" i="3"/>
  <c r="A26" i="3"/>
  <c r="J25" i="3"/>
  <c r="I25" i="3"/>
  <c r="H25" i="3"/>
  <c r="A25" i="3"/>
  <c r="B25" i="3" s="1"/>
  <c r="J24" i="3"/>
  <c r="I24" i="3"/>
  <c r="H24" i="3"/>
  <c r="D24" i="3"/>
  <c r="G24" i="3" s="1"/>
  <c r="C24" i="3"/>
  <c r="B24" i="3"/>
  <c r="E24" i="3" s="1"/>
  <c r="A24" i="3"/>
  <c r="J23" i="3"/>
  <c r="I23" i="3"/>
  <c r="H23" i="3"/>
  <c r="E23" i="3"/>
  <c r="D23" i="3"/>
  <c r="G23" i="3" s="1"/>
  <c r="B23" i="3"/>
  <c r="C23" i="3" s="1"/>
  <c r="A23" i="3"/>
  <c r="J22" i="3"/>
  <c r="I22" i="3"/>
  <c r="H22" i="3"/>
  <c r="D22" i="3"/>
  <c r="G22" i="3" s="1"/>
  <c r="B22" i="3"/>
  <c r="A22" i="3"/>
  <c r="J21" i="3"/>
  <c r="I21" i="3"/>
  <c r="H21" i="3"/>
  <c r="B21" i="3"/>
  <c r="D21" i="3" s="1"/>
  <c r="A21" i="3"/>
  <c r="J20" i="3"/>
  <c r="I20" i="3"/>
  <c r="H20" i="3"/>
  <c r="B20" i="3"/>
  <c r="E20" i="3" s="1"/>
  <c r="A20" i="3"/>
  <c r="J19" i="3"/>
  <c r="I19" i="3"/>
  <c r="H19" i="3"/>
  <c r="B19" i="3"/>
  <c r="C19" i="3" s="1"/>
  <c r="A19" i="3"/>
  <c r="J18" i="3"/>
  <c r="I18" i="3"/>
  <c r="H18" i="3"/>
  <c r="B18" i="3"/>
  <c r="D18" i="3" s="1"/>
  <c r="A18" i="3"/>
  <c r="J17" i="3"/>
  <c r="I17" i="3"/>
  <c r="H17" i="3"/>
  <c r="A17" i="3"/>
  <c r="B17" i="3" s="1"/>
  <c r="J16" i="3"/>
  <c r="I16" i="3"/>
  <c r="H16" i="3"/>
  <c r="B16" i="3"/>
  <c r="E16" i="3" s="1"/>
  <c r="A16" i="3"/>
  <c r="J15" i="3"/>
  <c r="I15" i="3"/>
  <c r="H15" i="3"/>
  <c r="B15" i="3"/>
  <c r="C15" i="3" s="1"/>
  <c r="A15" i="3"/>
  <c r="J14" i="3"/>
  <c r="I14" i="3"/>
  <c r="H14" i="3"/>
  <c r="B14" i="3"/>
  <c r="A14" i="3"/>
  <c r="J13" i="3"/>
  <c r="I13" i="3"/>
  <c r="H13" i="3"/>
  <c r="A13" i="3"/>
  <c r="B13" i="3" s="1"/>
  <c r="J12" i="3"/>
  <c r="I12" i="3"/>
  <c r="H12" i="3"/>
  <c r="B12" i="3"/>
  <c r="E12" i="3" s="1"/>
  <c r="A12" i="3"/>
  <c r="J11" i="3"/>
  <c r="I11" i="3"/>
  <c r="H11" i="3"/>
  <c r="B11" i="3"/>
  <c r="C11" i="3" s="1"/>
  <c r="A11" i="3"/>
  <c r="J10" i="3"/>
  <c r="I10" i="3"/>
  <c r="H10" i="3"/>
  <c r="B10" i="3"/>
  <c r="A10" i="3"/>
  <c r="J9" i="3"/>
  <c r="I9" i="3"/>
  <c r="H9" i="3"/>
  <c r="A9" i="3"/>
  <c r="B9" i="3" s="1"/>
  <c r="J8" i="3"/>
  <c r="I8" i="3"/>
  <c r="H8" i="3"/>
  <c r="B8" i="3"/>
  <c r="E8" i="3" s="1"/>
  <c r="A8" i="3"/>
  <c r="J7" i="3"/>
  <c r="I7" i="3"/>
  <c r="H7" i="3"/>
  <c r="B7" i="3"/>
  <c r="C7" i="3" s="1"/>
  <c r="A7" i="3"/>
  <c r="J6" i="3"/>
  <c r="I6" i="3"/>
  <c r="H6" i="3"/>
  <c r="B6" i="3"/>
  <c r="D6" i="3" s="1"/>
  <c r="A6" i="3"/>
  <c r="J5" i="3"/>
  <c r="I5" i="3"/>
  <c r="H5" i="3"/>
  <c r="A5" i="3"/>
  <c r="B5" i="3" s="1"/>
  <c r="J4" i="3"/>
  <c r="I4" i="3"/>
  <c r="H4" i="3"/>
  <c r="B4" i="3"/>
  <c r="E4" i="3" s="1"/>
  <c r="A4" i="3"/>
  <c r="J3" i="3"/>
  <c r="I3" i="3"/>
  <c r="H3" i="3"/>
  <c r="B3" i="3"/>
  <c r="C3" i="3" s="1"/>
  <c r="A3" i="3"/>
  <c r="J2" i="3"/>
  <c r="I2" i="3"/>
  <c r="H2" i="3"/>
  <c r="B2" i="3"/>
  <c r="A2" i="3"/>
  <c r="G6" i="3" l="1"/>
  <c r="F6" i="3"/>
  <c r="G21" i="3"/>
  <c r="F21" i="3"/>
  <c r="C25" i="3"/>
  <c r="E25" i="3"/>
  <c r="D25" i="3"/>
  <c r="C33" i="3"/>
  <c r="E33" i="3"/>
  <c r="D33" i="3"/>
  <c r="F38" i="3"/>
  <c r="G38" i="3"/>
  <c r="C49" i="3"/>
  <c r="E49" i="3"/>
  <c r="D49" i="3"/>
  <c r="G61" i="3"/>
  <c r="F61" i="3"/>
  <c r="C5" i="3"/>
  <c r="E5" i="3"/>
  <c r="D5" i="3"/>
  <c r="C37" i="3"/>
  <c r="E37" i="3"/>
  <c r="D37" i="3"/>
  <c r="G66" i="3"/>
  <c r="F66" i="3"/>
  <c r="C13" i="3"/>
  <c r="E13" i="3"/>
  <c r="D13" i="3"/>
  <c r="C17" i="3"/>
  <c r="E17" i="3"/>
  <c r="D17" i="3"/>
  <c r="G53" i="3"/>
  <c r="F53" i="3"/>
  <c r="G18" i="3"/>
  <c r="F18" i="3"/>
  <c r="C45" i="3"/>
  <c r="E45" i="3"/>
  <c r="D45" i="3"/>
  <c r="C29" i="3"/>
  <c r="E29" i="3"/>
  <c r="D29" i="3"/>
  <c r="C9" i="3"/>
  <c r="E9" i="3"/>
  <c r="D9" i="3"/>
  <c r="C41" i="3"/>
  <c r="E41" i="3"/>
  <c r="D41" i="3"/>
  <c r="E50" i="3"/>
  <c r="C50" i="3"/>
  <c r="E14" i="3"/>
  <c r="C14" i="3"/>
  <c r="D19" i="3"/>
  <c r="C20" i="3"/>
  <c r="F22" i="3"/>
  <c r="E46" i="3"/>
  <c r="C46" i="3"/>
  <c r="D50" i="3"/>
  <c r="D51" i="3"/>
  <c r="C52" i="3"/>
  <c r="G69" i="3"/>
  <c r="F69" i="3"/>
  <c r="E73" i="3"/>
  <c r="D73" i="3"/>
  <c r="G76" i="3"/>
  <c r="F76" i="3"/>
  <c r="E81" i="3"/>
  <c r="D81" i="3"/>
  <c r="C81" i="3"/>
  <c r="E89" i="3"/>
  <c r="C89" i="3"/>
  <c r="E109" i="3"/>
  <c r="D109" i="3"/>
  <c r="C109" i="3"/>
  <c r="C111" i="3"/>
  <c r="E111" i="3"/>
  <c r="D111" i="3"/>
  <c r="G117" i="3"/>
  <c r="F117" i="3"/>
  <c r="E126" i="3"/>
  <c r="C126" i="3"/>
  <c r="D126" i="3"/>
  <c r="E154" i="3"/>
  <c r="C154" i="3"/>
  <c r="D154" i="3"/>
  <c r="D157" i="3"/>
  <c r="E157" i="3"/>
  <c r="C157" i="3"/>
  <c r="E51" i="3"/>
  <c r="C85" i="3"/>
  <c r="E85" i="3"/>
  <c r="G89" i="3"/>
  <c r="F89" i="3"/>
  <c r="E18" i="3"/>
  <c r="C18" i="3"/>
  <c r="C21" i="3"/>
  <c r="E21" i="3"/>
  <c r="C12" i="3"/>
  <c r="E15" i="3"/>
  <c r="D85" i="3"/>
  <c r="C93" i="3"/>
  <c r="E93" i="3"/>
  <c r="D93" i="3"/>
  <c r="G98" i="3"/>
  <c r="F98" i="3"/>
  <c r="G108" i="3"/>
  <c r="F108" i="3"/>
  <c r="C113" i="3"/>
  <c r="E113" i="3"/>
  <c r="D113" i="3"/>
  <c r="C145" i="3"/>
  <c r="E145" i="3"/>
  <c r="D145" i="3"/>
  <c r="D15" i="3"/>
  <c r="E19" i="3"/>
  <c r="D20" i="3"/>
  <c r="F24" i="3"/>
  <c r="E42" i="3"/>
  <c r="C42" i="3"/>
  <c r="D7" i="3"/>
  <c r="D12" i="3"/>
  <c r="D72" i="3"/>
  <c r="C72" i="3"/>
  <c r="C83" i="3"/>
  <c r="D83" i="3"/>
  <c r="C141" i="3"/>
  <c r="E141" i="3"/>
  <c r="D141" i="3"/>
  <c r="F28" i="3"/>
  <c r="E10" i="3"/>
  <c r="C10" i="3"/>
  <c r="D14" i="3"/>
  <c r="C16" i="3"/>
  <c r="F23" i="3"/>
  <c r="D46" i="3"/>
  <c r="D52" i="3"/>
  <c r="C40" i="3"/>
  <c r="D44" i="3"/>
  <c r="F48" i="3"/>
  <c r="C4" i="3"/>
  <c r="C57" i="3"/>
  <c r="E62" i="3"/>
  <c r="D62" i="3"/>
  <c r="C67" i="3"/>
  <c r="E67" i="3"/>
  <c r="E72" i="3"/>
  <c r="C79" i="3"/>
  <c r="D79" i="3"/>
  <c r="C87" i="3"/>
  <c r="E87" i="3"/>
  <c r="D87" i="3"/>
  <c r="F88" i="3"/>
  <c r="E110" i="3"/>
  <c r="D110" i="3"/>
  <c r="C110" i="3"/>
  <c r="E137" i="3"/>
  <c r="D137" i="3"/>
  <c r="C137" i="3"/>
  <c r="C161" i="3"/>
  <c r="E161" i="3"/>
  <c r="D161" i="3"/>
  <c r="C59" i="3"/>
  <c r="E59" i="3"/>
  <c r="D59" i="3"/>
  <c r="F60" i="3"/>
  <c r="D65" i="3"/>
  <c r="C65" i="3"/>
  <c r="E68" i="3"/>
  <c r="D68" i="3"/>
  <c r="C68" i="3"/>
  <c r="C75" i="3"/>
  <c r="E75" i="3"/>
  <c r="D75" i="3"/>
  <c r="G80" i="3"/>
  <c r="F80" i="3"/>
  <c r="E2" i="3"/>
  <c r="C2" i="3"/>
  <c r="C8" i="3"/>
  <c r="E11" i="3"/>
  <c r="E34" i="3"/>
  <c r="C34" i="3"/>
  <c r="D39" i="3"/>
  <c r="E43" i="3"/>
  <c r="F47" i="3"/>
  <c r="D2" i="3"/>
  <c r="D3" i="3"/>
  <c r="E7" i="3"/>
  <c r="D8" i="3"/>
  <c r="E30" i="3"/>
  <c r="C30" i="3"/>
  <c r="D34" i="3"/>
  <c r="D35" i="3"/>
  <c r="E39" i="3"/>
  <c r="D30" i="3"/>
  <c r="D31" i="3"/>
  <c r="C32" i="3"/>
  <c r="E35" i="3"/>
  <c r="D36" i="3"/>
  <c r="E54" i="3"/>
  <c r="D54" i="3"/>
  <c r="D57" i="3"/>
  <c r="C62" i="3"/>
  <c r="G64" i="3"/>
  <c r="D67" i="3"/>
  <c r="E70" i="3"/>
  <c r="C70" i="3"/>
  <c r="E79" i="3"/>
  <c r="G92" i="3"/>
  <c r="F92" i="3"/>
  <c r="E112" i="3"/>
  <c r="D112" i="3"/>
  <c r="C112" i="3"/>
  <c r="E122" i="3"/>
  <c r="D122" i="3"/>
  <c r="C122" i="3"/>
  <c r="E6" i="3"/>
  <c r="C6" i="3"/>
  <c r="D10" i="3"/>
  <c r="D11" i="3"/>
  <c r="D16" i="3"/>
  <c r="E38" i="3"/>
  <c r="C38" i="3"/>
  <c r="D42" i="3"/>
  <c r="D43" i="3"/>
  <c r="C44" i="3"/>
  <c r="C36" i="3"/>
  <c r="D40" i="3"/>
  <c r="C55" i="3"/>
  <c r="D55" i="3"/>
  <c r="E3" i="3"/>
  <c r="D4" i="3"/>
  <c r="E26" i="3"/>
  <c r="C26" i="3"/>
  <c r="E22" i="3"/>
  <c r="C22" i="3"/>
  <c r="D26" i="3"/>
  <c r="D27" i="3"/>
  <c r="C28" i="3"/>
  <c r="E31" i="3"/>
  <c r="D32" i="3"/>
  <c r="C54" i="3"/>
  <c r="D70" i="3"/>
  <c r="G71" i="3"/>
  <c r="E74" i="3"/>
  <c r="D74" i="3"/>
  <c r="C74" i="3"/>
  <c r="E86" i="3"/>
  <c r="D86" i="3"/>
  <c r="C91" i="3"/>
  <c r="E91" i="3"/>
  <c r="D91" i="3"/>
  <c r="C53" i="3"/>
  <c r="E53" i="3"/>
  <c r="E61" i="3"/>
  <c r="C61" i="3"/>
  <c r="E66" i="3"/>
  <c r="C66" i="3"/>
  <c r="E78" i="3"/>
  <c r="D78" i="3"/>
  <c r="C78" i="3"/>
  <c r="G105" i="3"/>
  <c r="F105" i="3"/>
  <c r="F114" i="3"/>
  <c r="G114" i="3"/>
  <c r="G149" i="3"/>
  <c r="F149" i="3"/>
  <c r="E158" i="3"/>
  <c r="C158" i="3"/>
  <c r="G168" i="3"/>
  <c r="G173" i="3"/>
  <c r="F173" i="3"/>
  <c r="C184" i="3"/>
  <c r="E184" i="3"/>
  <c r="D184" i="3"/>
  <c r="C192" i="3"/>
  <c r="D192" i="3"/>
  <c r="E192" i="3"/>
  <c r="C139" i="3"/>
  <c r="D139" i="3"/>
  <c r="E60" i="3"/>
  <c r="E92" i="3"/>
  <c r="F104" i="3"/>
  <c r="D118" i="3"/>
  <c r="F119" i="3"/>
  <c r="E120" i="3"/>
  <c r="C121" i="3"/>
  <c r="C130" i="3"/>
  <c r="D131" i="3"/>
  <c r="C132" i="3"/>
  <c r="C133" i="3"/>
  <c r="E139" i="3"/>
  <c r="C142" i="3"/>
  <c r="D146" i="3"/>
  <c r="D155" i="3"/>
  <c r="D158" i="3"/>
  <c r="F160" i="3"/>
  <c r="F166" i="3"/>
  <c r="E171" i="3"/>
  <c r="C171" i="3"/>
  <c r="C173" i="3"/>
  <c r="D177" i="3"/>
  <c r="E177" i="3"/>
  <c r="C177" i="3"/>
  <c r="F187" i="3"/>
  <c r="E195" i="3"/>
  <c r="C195" i="3"/>
  <c r="D195" i="3"/>
  <c r="E199" i="3"/>
  <c r="C199" i="3"/>
  <c r="D199" i="3"/>
  <c r="E96" i="3"/>
  <c r="C96" i="3"/>
  <c r="F120" i="3"/>
  <c r="D121" i="3"/>
  <c r="E131" i="3"/>
  <c r="G147" i="3"/>
  <c r="C151" i="3"/>
  <c r="E151" i="3"/>
  <c r="E155" i="3"/>
  <c r="G165" i="3"/>
  <c r="F165" i="3"/>
  <c r="E173" i="3"/>
  <c r="C180" i="3"/>
  <c r="E180" i="3"/>
  <c r="E202" i="3"/>
  <c r="D202" i="3"/>
  <c r="C202" i="3"/>
  <c r="D125" i="3"/>
  <c r="E125" i="3"/>
  <c r="G127" i="3"/>
  <c r="D130" i="3"/>
  <c r="E132" i="3"/>
  <c r="D133" i="3"/>
  <c r="E138" i="3"/>
  <c r="D138" i="3"/>
  <c r="D142" i="3"/>
  <c r="D63" i="3"/>
  <c r="C69" i="3"/>
  <c r="C76" i="3"/>
  <c r="C82" i="3"/>
  <c r="C95" i="3"/>
  <c r="D96" i="3"/>
  <c r="C98" i="3"/>
  <c r="D123" i="3"/>
  <c r="C124" i="3"/>
  <c r="C125" i="3"/>
  <c r="F132" i="3"/>
  <c r="D135" i="3"/>
  <c r="C138" i="3"/>
  <c r="D151" i="3"/>
  <c r="F156" i="3"/>
  <c r="G156" i="3"/>
  <c r="F171" i="3"/>
  <c r="G172" i="3"/>
  <c r="D180" i="3"/>
  <c r="E183" i="3"/>
  <c r="C183" i="3"/>
  <c r="D183" i="3"/>
  <c r="G207" i="3"/>
  <c r="F207" i="3"/>
  <c r="E63" i="3"/>
  <c r="D82" i="3"/>
  <c r="E95" i="3"/>
  <c r="E123" i="3"/>
  <c r="D124" i="3"/>
  <c r="E135" i="3"/>
  <c r="F143" i="3"/>
  <c r="G152" i="3"/>
  <c r="F163" i="3"/>
  <c r="G163" i="3"/>
  <c r="E175" i="3"/>
  <c r="C175" i="3"/>
  <c r="E179" i="3"/>
  <c r="C179" i="3"/>
  <c r="D179" i="3"/>
  <c r="C236" i="3"/>
  <c r="E236" i="3"/>
  <c r="D236" i="3"/>
  <c r="E102" i="3"/>
  <c r="D102" i="3"/>
  <c r="C103" i="3"/>
  <c r="D103" i="3"/>
  <c r="G136" i="3"/>
  <c r="F136" i="3"/>
  <c r="E167" i="3"/>
  <c r="C167" i="3"/>
  <c r="G170" i="3"/>
  <c r="F170" i="3"/>
  <c r="D185" i="3"/>
  <c r="E185" i="3"/>
  <c r="C185" i="3"/>
  <c r="D193" i="3"/>
  <c r="C193" i="3"/>
  <c r="E106" i="3"/>
  <c r="D106" i="3"/>
  <c r="C107" i="3"/>
  <c r="D107" i="3"/>
  <c r="C115" i="3"/>
  <c r="E115" i="3"/>
  <c r="F150" i="3"/>
  <c r="G150" i="3"/>
  <c r="C162" i="3"/>
  <c r="D167" i="3"/>
  <c r="G169" i="3"/>
  <c r="F169" i="3"/>
  <c r="E182" i="3"/>
  <c r="D182" i="3"/>
  <c r="C182" i="3"/>
  <c r="E193" i="3"/>
  <c r="D225" i="3"/>
  <c r="C225" i="3"/>
  <c r="E225" i="3"/>
  <c r="D100" i="3"/>
  <c r="C105" i="3"/>
  <c r="C106" i="3"/>
  <c r="E107" i="3"/>
  <c r="C114" i="3"/>
  <c r="D115" i="3"/>
  <c r="D116" i="3"/>
  <c r="C119" i="3"/>
  <c r="E119" i="3"/>
  <c r="C149" i="3"/>
  <c r="D159" i="3"/>
  <c r="C160" i="3"/>
  <c r="D162" i="3"/>
  <c r="E166" i="3"/>
  <c r="C166" i="3"/>
  <c r="E169" i="3"/>
  <c r="E174" i="3"/>
  <c r="D174" i="3"/>
  <c r="G178" i="3"/>
  <c r="F178" i="3"/>
  <c r="F196" i="3"/>
  <c r="G196" i="3"/>
  <c r="E187" i="3"/>
  <c r="C187" i="3"/>
  <c r="F188" i="3"/>
  <c r="G188" i="3"/>
  <c r="E210" i="3"/>
  <c r="C210" i="3"/>
  <c r="E222" i="3"/>
  <c r="C222" i="3"/>
  <c r="E231" i="3"/>
  <c r="C231" i="3"/>
  <c r="D231" i="3"/>
  <c r="E234" i="3"/>
  <c r="D234" i="3"/>
  <c r="C234" i="3"/>
  <c r="E203" i="3"/>
  <c r="C203" i="3"/>
  <c r="D203" i="3"/>
  <c r="G210" i="3"/>
  <c r="F210" i="3"/>
  <c r="D217" i="3"/>
  <c r="E217" i="3"/>
  <c r="C217" i="3"/>
  <c r="G222" i="3"/>
  <c r="F222" i="3"/>
  <c r="D245" i="3"/>
  <c r="C245" i="3"/>
  <c r="E245" i="3"/>
  <c r="D241" i="3"/>
  <c r="C241" i="3"/>
  <c r="C216" i="3"/>
  <c r="E216" i="3"/>
  <c r="D216" i="3"/>
  <c r="F220" i="3"/>
  <c r="G220" i="3"/>
  <c r="E241" i="3"/>
  <c r="F248" i="3"/>
  <c r="G248" i="3"/>
  <c r="G186" i="3"/>
  <c r="F186" i="3"/>
  <c r="E191" i="3"/>
  <c r="C191" i="3"/>
  <c r="D191" i="3"/>
  <c r="E219" i="3"/>
  <c r="C219" i="3"/>
  <c r="C224" i="3"/>
  <c r="D224" i="3"/>
  <c r="F238" i="3"/>
  <c r="G238" i="3"/>
  <c r="D243" i="3"/>
  <c r="E243" i="3"/>
  <c r="C243" i="3"/>
  <c r="F254" i="3"/>
  <c r="G254" i="3"/>
  <c r="C164" i="3"/>
  <c r="E164" i="3"/>
  <c r="D176" i="3"/>
  <c r="G181" i="3"/>
  <c r="F181" i="3"/>
  <c r="E190" i="3"/>
  <c r="C190" i="3"/>
  <c r="D205" i="3"/>
  <c r="E205" i="3"/>
  <c r="C205" i="3"/>
  <c r="E215" i="3"/>
  <c r="C215" i="3"/>
  <c r="D215" i="3"/>
  <c r="D219" i="3"/>
  <c r="E224" i="3"/>
  <c r="E235" i="3"/>
  <c r="C235" i="3"/>
  <c r="D235" i="3"/>
  <c r="G198" i="3"/>
  <c r="F198" i="3"/>
  <c r="F208" i="3"/>
  <c r="G208" i="3"/>
  <c r="E211" i="3"/>
  <c r="C211" i="3"/>
  <c r="D211" i="3"/>
  <c r="E223" i="3"/>
  <c r="C223" i="3"/>
  <c r="D223" i="3"/>
  <c r="E227" i="3"/>
  <c r="C227" i="3"/>
  <c r="D227" i="3"/>
  <c r="D240" i="3"/>
  <c r="E240" i="3"/>
  <c r="C240" i="3"/>
  <c r="C204" i="3"/>
  <c r="E204" i="3"/>
  <c r="D204" i="3"/>
  <c r="E207" i="3"/>
  <c r="C207" i="3"/>
  <c r="E214" i="3"/>
  <c r="D214" i="3"/>
  <c r="C214" i="3"/>
  <c r="D237" i="3"/>
  <c r="E237" i="3"/>
  <c r="C237" i="3"/>
  <c r="G250" i="3"/>
  <c r="D255" i="3"/>
  <c r="E255" i="3"/>
  <c r="D262" i="3"/>
  <c r="G263" i="3"/>
  <c r="E271" i="3"/>
  <c r="D271" i="3"/>
  <c r="G290" i="3"/>
  <c r="F290" i="3"/>
  <c r="E299" i="3"/>
  <c r="D299" i="3"/>
  <c r="C299" i="3"/>
  <c r="D212" i="3"/>
  <c r="C213" i="3"/>
  <c r="F218" i="3"/>
  <c r="D239" i="3"/>
  <c r="E239" i="3"/>
  <c r="D246" i="3"/>
  <c r="C255" i="3"/>
  <c r="D259" i="3"/>
  <c r="E259" i="3"/>
  <c r="D261" i="3"/>
  <c r="C261" i="3"/>
  <c r="E262" i="3"/>
  <c r="C271" i="3"/>
  <c r="D274" i="3"/>
  <c r="E278" i="3"/>
  <c r="C278" i="3"/>
  <c r="E282" i="3"/>
  <c r="D282" i="3"/>
  <c r="C282" i="3"/>
  <c r="D288" i="3"/>
  <c r="C288" i="3"/>
  <c r="E288" i="3"/>
  <c r="D292" i="3"/>
  <c r="C292" i="3"/>
  <c r="E292" i="3"/>
  <c r="D273" i="3"/>
  <c r="C273" i="3"/>
  <c r="G278" i="3"/>
  <c r="F278" i="3"/>
  <c r="D206" i="3"/>
  <c r="E208" i="3"/>
  <c r="E209" i="3"/>
  <c r="F213" i="3"/>
  <c r="E238" i="3"/>
  <c r="E253" i="3"/>
  <c r="E258" i="3"/>
  <c r="C258" i="3"/>
  <c r="E273" i="3"/>
  <c r="C198" i="3"/>
  <c r="D200" i="3"/>
  <c r="C201" i="3"/>
  <c r="F209" i="3"/>
  <c r="C230" i="3"/>
  <c r="D232" i="3"/>
  <c r="C233" i="3"/>
  <c r="E242" i="3"/>
  <c r="C242" i="3"/>
  <c r="D252" i="3"/>
  <c r="G253" i="3"/>
  <c r="D258" i="3"/>
  <c r="F285" i="3"/>
  <c r="E298" i="3"/>
  <c r="D298" i="3"/>
  <c r="C298" i="3"/>
  <c r="D251" i="3"/>
  <c r="C251" i="3"/>
  <c r="D257" i="3"/>
  <c r="C257" i="3"/>
  <c r="D267" i="3"/>
  <c r="E267" i="3"/>
  <c r="D272" i="3"/>
  <c r="C272" i="3"/>
  <c r="E283" i="3"/>
  <c r="D283" i="3"/>
  <c r="C283" i="3"/>
  <c r="E287" i="3"/>
  <c r="D287" i="3"/>
  <c r="C287" i="3"/>
  <c r="E294" i="3"/>
  <c r="C294" i="3"/>
  <c r="D306" i="3"/>
  <c r="E306" i="3"/>
  <c r="C306" i="3"/>
  <c r="F201" i="3"/>
  <c r="F230" i="3"/>
  <c r="F233" i="3"/>
  <c r="G242" i="3"/>
  <c r="D249" i="3"/>
  <c r="E249" i="3"/>
  <c r="C250" i="3"/>
  <c r="E251" i="3"/>
  <c r="F256" i="3"/>
  <c r="G256" i="3"/>
  <c r="E257" i="3"/>
  <c r="C263" i="3"/>
  <c r="C267" i="3"/>
  <c r="E272" i="3"/>
  <c r="D294" i="3"/>
  <c r="E303" i="3"/>
  <c r="D303" i="3"/>
  <c r="C303" i="3"/>
  <c r="D314" i="3"/>
  <c r="E314" i="3"/>
  <c r="C314" i="3"/>
  <c r="E263" i="3"/>
  <c r="E275" i="3"/>
  <c r="D275" i="3"/>
  <c r="C275" i="3"/>
  <c r="E279" i="3"/>
  <c r="D279" i="3"/>
  <c r="C279" i="3"/>
  <c r="F321" i="3"/>
  <c r="G321" i="3"/>
  <c r="D324" i="3"/>
  <c r="C324" i="3"/>
  <c r="E335" i="3"/>
  <c r="D335" i="3"/>
  <c r="C335" i="3"/>
  <c r="D346" i="3"/>
  <c r="E346" i="3"/>
  <c r="D310" i="3"/>
  <c r="E310" i="3"/>
  <c r="F317" i="3"/>
  <c r="G317" i="3"/>
  <c r="D320" i="3"/>
  <c r="C320" i="3"/>
  <c r="E324" i="3"/>
  <c r="E331" i="3"/>
  <c r="D331" i="3"/>
  <c r="C331" i="3"/>
  <c r="D342" i="3"/>
  <c r="E342" i="3"/>
  <c r="C346" i="3"/>
  <c r="F349" i="3"/>
  <c r="G349" i="3"/>
  <c r="F313" i="3"/>
  <c r="G313" i="3"/>
  <c r="D316" i="3"/>
  <c r="C316" i="3"/>
  <c r="E327" i="3"/>
  <c r="D327" i="3"/>
  <c r="C327" i="3"/>
  <c r="D338" i="3"/>
  <c r="E338" i="3"/>
  <c r="F345" i="3"/>
  <c r="G345" i="3"/>
  <c r="D348" i="3"/>
  <c r="C348" i="3"/>
  <c r="D268" i="3"/>
  <c r="C268" i="3"/>
  <c r="G270" i="3"/>
  <c r="F270" i="3"/>
  <c r="D276" i="3"/>
  <c r="C276" i="3"/>
  <c r="D302" i="3"/>
  <c r="E302" i="3"/>
  <c r="F309" i="3"/>
  <c r="G309" i="3"/>
  <c r="D312" i="3"/>
  <c r="C312" i="3"/>
  <c r="E316" i="3"/>
  <c r="E323" i="3"/>
  <c r="D323" i="3"/>
  <c r="C323" i="3"/>
  <c r="D334" i="3"/>
  <c r="E334" i="3"/>
  <c r="C338" i="3"/>
  <c r="F341" i="3"/>
  <c r="G341" i="3"/>
  <c r="D344" i="3"/>
  <c r="C344" i="3"/>
  <c r="E348" i="3"/>
  <c r="D280" i="3"/>
  <c r="C280" i="3"/>
  <c r="D296" i="3"/>
  <c r="C296" i="3"/>
  <c r="C302" i="3"/>
  <c r="F305" i="3"/>
  <c r="G305" i="3"/>
  <c r="D308" i="3"/>
  <c r="C308" i="3"/>
  <c r="E312" i="3"/>
  <c r="E319" i="3"/>
  <c r="D319" i="3"/>
  <c r="C319" i="3"/>
  <c r="D330" i="3"/>
  <c r="E330" i="3"/>
  <c r="C334" i="3"/>
  <c r="F337" i="3"/>
  <c r="G337" i="3"/>
  <c r="D340" i="3"/>
  <c r="C340" i="3"/>
  <c r="E344" i="3"/>
  <c r="E351" i="3"/>
  <c r="D351" i="3"/>
  <c r="C351" i="3"/>
  <c r="E291" i="3"/>
  <c r="D291" i="3"/>
  <c r="C291" i="3"/>
  <c r="F301" i="3"/>
  <c r="G301" i="3"/>
  <c r="D304" i="3"/>
  <c r="C304" i="3"/>
  <c r="E315" i="3"/>
  <c r="D315" i="3"/>
  <c r="C315" i="3"/>
  <c r="D326" i="3"/>
  <c r="E326" i="3"/>
  <c r="F333" i="3"/>
  <c r="G333" i="3"/>
  <c r="D336" i="3"/>
  <c r="C336" i="3"/>
  <c r="E340" i="3"/>
  <c r="E347" i="3"/>
  <c r="D347" i="3"/>
  <c r="C347" i="3"/>
  <c r="D284" i="3"/>
  <c r="C284" i="3"/>
  <c r="D286" i="3"/>
  <c r="F297" i="3"/>
  <c r="D300" i="3"/>
  <c r="C300" i="3"/>
  <c r="E304" i="3"/>
  <c r="E311" i="3"/>
  <c r="D311" i="3"/>
  <c r="C311" i="3"/>
  <c r="D322" i="3"/>
  <c r="E322" i="3"/>
  <c r="C326" i="3"/>
  <c r="F329" i="3"/>
  <c r="G329" i="3"/>
  <c r="D332" i="3"/>
  <c r="C332" i="3"/>
  <c r="E336" i="3"/>
  <c r="E343" i="3"/>
  <c r="D343" i="3"/>
  <c r="C343" i="3"/>
  <c r="E295" i="3"/>
  <c r="D295" i="3"/>
  <c r="C295" i="3"/>
  <c r="E307" i="3"/>
  <c r="D307" i="3"/>
  <c r="C307" i="3"/>
  <c r="D318" i="3"/>
  <c r="E318" i="3"/>
  <c r="F325" i="3"/>
  <c r="G325" i="3"/>
  <c r="D328" i="3"/>
  <c r="C328" i="3"/>
  <c r="E332" i="3"/>
  <c r="E339" i="3"/>
  <c r="D339" i="3"/>
  <c r="C339" i="3"/>
  <c r="D350" i="3"/>
  <c r="E350" i="3"/>
  <c r="F275" i="3" l="1"/>
  <c r="G275" i="3"/>
  <c r="F68" i="3"/>
  <c r="G68" i="3"/>
  <c r="G161" i="3"/>
  <c r="F161" i="3"/>
  <c r="G109" i="3"/>
  <c r="F109" i="3"/>
  <c r="F307" i="3"/>
  <c r="G307" i="3"/>
  <c r="F304" i="3"/>
  <c r="G304" i="3"/>
  <c r="G330" i="3"/>
  <c r="F330" i="3"/>
  <c r="F344" i="3"/>
  <c r="G344" i="3"/>
  <c r="F316" i="3"/>
  <c r="G316" i="3"/>
  <c r="F324" i="3"/>
  <c r="G324" i="3"/>
  <c r="G294" i="3"/>
  <c r="F294" i="3"/>
  <c r="F283" i="3"/>
  <c r="G283" i="3"/>
  <c r="F252" i="3"/>
  <c r="G252" i="3"/>
  <c r="F200" i="3"/>
  <c r="G200" i="3"/>
  <c r="G259" i="3"/>
  <c r="F259" i="3"/>
  <c r="F262" i="3"/>
  <c r="G262" i="3"/>
  <c r="G214" i="3"/>
  <c r="F214" i="3"/>
  <c r="G211" i="3"/>
  <c r="F211" i="3"/>
  <c r="F224" i="3"/>
  <c r="G224" i="3"/>
  <c r="G193" i="3"/>
  <c r="F193" i="3"/>
  <c r="G123" i="3"/>
  <c r="F123" i="3"/>
  <c r="G142" i="3"/>
  <c r="F142" i="3"/>
  <c r="G125" i="3"/>
  <c r="F125" i="3"/>
  <c r="F131" i="3"/>
  <c r="G131" i="3"/>
  <c r="G86" i="3"/>
  <c r="F86" i="3"/>
  <c r="G32" i="3"/>
  <c r="F32" i="3"/>
  <c r="G43" i="3"/>
  <c r="F43" i="3"/>
  <c r="G54" i="3"/>
  <c r="F54" i="3"/>
  <c r="G35" i="3"/>
  <c r="F35" i="3"/>
  <c r="G52" i="3"/>
  <c r="F52" i="3"/>
  <c r="G141" i="3"/>
  <c r="F141" i="3"/>
  <c r="G7" i="3"/>
  <c r="F7" i="3"/>
  <c r="G73" i="3"/>
  <c r="F73" i="3"/>
  <c r="G41" i="3"/>
  <c r="F41" i="3"/>
  <c r="G17" i="3"/>
  <c r="F17" i="3"/>
  <c r="G37" i="3"/>
  <c r="F37" i="3"/>
  <c r="G49" i="3"/>
  <c r="F49" i="3"/>
  <c r="G25" i="3"/>
  <c r="F25" i="3"/>
  <c r="G63" i="3"/>
  <c r="F63" i="3"/>
  <c r="G12" i="3"/>
  <c r="F12" i="3"/>
  <c r="G145" i="3"/>
  <c r="F145" i="3"/>
  <c r="F311" i="3"/>
  <c r="G311" i="3"/>
  <c r="F284" i="3"/>
  <c r="G284" i="3"/>
  <c r="F276" i="3"/>
  <c r="G276" i="3"/>
  <c r="F331" i="3"/>
  <c r="G331" i="3"/>
  <c r="G310" i="3"/>
  <c r="F310" i="3"/>
  <c r="G306" i="3"/>
  <c r="F306" i="3"/>
  <c r="G251" i="3"/>
  <c r="F251" i="3"/>
  <c r="F292" i="3"/>
  <c r="G292" i="3"/>
  <c r="F299" i="3"/>
  <c r="G299" i="3"/>
  <c r="F240" i="3"/>
  <c r="G240" i="3"/>
  <c r="G205" i="3"/>
  <c r="F205" i="3"/>
  <c r="G234" i="3"/>
  <c r="F234" i="3"/>
  <c r="G159" i="3"/>
  <c r="F159" i="3"/>
  <c r="G182" i="3"/>
  <c r="F182" i="3"/>
  <c r="G179" i="3"/>
  <c r="F179" i="3"/>
  <c r="G138" i="3"/>
  <c r="F138" i="3"/>
  <c r="G158" i="3"/>
  <c r="F158" i="3"/>
  <c r="G139" i="3"/>
  <c r="F139" i="3"/>
  <c r="G4" i="3"/>
  <c r="F4" i="3"/>
  <c r="G42" i="3"/>
  <c r="F42" i="3"/>
  <c r="G34" i="3"/>
  <c r="F34" i="3"/>
  <c r="G87" i="3"/>
  <c r="F87" i="3"/>
  <c r="F62" i="3"/>
  <c r="G62" i="3"/>
  <c r="F46" i="3"/>
  <c r="G46" i="3"/>
  <c r="G93" i="3"/>
  <c r="F93" i="3"/>
  <c r="G45" i="3"/>
  <c r="F45" i="3"/>
  <c r="G351" i="3"/>
  <c r="F351" i="3"/>
  <c r="F332" i="3"/>
  <c r="G332" i="3"/>
  <c r="F319" i="3"/>
  <c r="G319" i="3"/>
  <c r="G249" i="3"/>
  <c r="F249" i="3"/>
  <c r="G206" i="3"/>
  <c r="F206" i="3"/>
  <c r="G274" i="3"/>
  <c r="F274" i="3"/>
  <c r="F246" i="3"/>
  <c r="G246" i="3"/>
  <c r="G255" i="3"/>
  <c r="F255" i="3"/>
  <c r="F227" i="3"/>
  <c r="G227" i="3"/>
  <c r="F241" i="3"/>
  <c r="G241" i="3"/>
  <c r="G217" i="3"/>
  <c r="F217" i="3"/>
  <c r="G174" i="3"/>
  <c r="F174" i="3"/>
  <c r="F103" i="3"/>
  <c r="G103" i="3"/>
  <c r="G183" i="3"/>
  <c r="F183" i="3"/>
  <c r="G151" i="3"/>
  <c r="F151" i="3"/>
  <c r="F96" i="3"/>
  <c r="G96" i="3"/>
  <c r="G202" i="3"/>
  <c r="F202" i="3"/>
  <c r="G199" i="3"/>
  <c r="F199" i="3"/>
  <c r="G155" i="3"/>
  <c r="F155" i="3"/>
  <c r="G122" i="3"/>
  <c r="F122" i="3"/>
  <c r="G36" i="3"/>
  <c r="F36" i="3"/>
  <c r="G39" i="3"/>
  <c r="F39" i="3"/>
  <c r="G65" i="3"/>
  <c r="F65" i="3"/>
  <c r="G113" i="3"/>
  <c r="F113" i="3"/>
  <c r="G157" i="3"/>
  <c r="F157" i="3"/>
  <c r="G342" i="3"/>
  <c r="F342" i="3"/>
  <c r="G162" i="3"/>
  <c r="F162" i="3"/>
  <c r="G57" i="3"/>
  <c r="F57" i="3"/>
  <c r="G2" i="3"/>
  <c r="F2" i="3"/>
  <c r="F328" i="3"/>
  <c r="G328" i="3"/>
  <c r="F295" i="3"/>
  <c r="G295" i="3"/>
  <c r="F347" i="3"/>
  <c r="G347" i="3"/>
  <c r="G326" i="3"/>
  <c r="F326" i="3"/>
  <c r="F340" i="3"/>
  <c r="G340" i="3"/>
  <c r="F296" i="3"/>
  <c r="G296" i="3"/>
  <c r="F312" i="3"/>
  <c r="G312" i="3"/>
  <c r="G338" i="3"/>
  <c r="F338" i="3"/>
  <c r="G346" i="3"/>
  <c r="F346" i="3"/>
  <c r="F272" i="3"/>
  <c r="G272" i="3"/>
  <c r="G298" i="3"/>
  <c r="F298" i="3"/>
  <c r="G219" i="3"/>
  <c r="F219" i="3"/>
  <c r="G231" i="3"/>
  <c r="F231" i="3"/>
  <c r="G100" i="3"/>
  <c r="F100" i="3"/>
  <c r="G107" i="3"/>
  <c r="F107" i="3"/>
  <c r="G185" i="3"/>
  <c r="F185" i="3"/>
  <c r="F124" i="3"/>
  <c r="G124" i="3"/>
  <c r="G133" i="3"/>
  <c r="F133" i="3"/>
  <c r="G177" i="3"/>
  <c r="F177" i="3"/>
  <c r="G146" i="3"/>
  <c r="F146" i="3"/>
  <c r="G74" i="3"/>
  <c r="F74" i="3"/>
  <c r="G27" i="3"/>
  <c r="F27" i="3"/>
  <c r="F55" i="3"/>
  <c r="G55" i="3"/>
  <c r="F75" i="3"/>
  <c r="G75" i="3"/>
  <c r="G137" i="3"/>
  <c r="F137" i="3"/>
  <c r="G83" i="3"/>
  <c r="F83" i="3"/>
  <c r="G154" i="3"/>
  <c r="F154" i="3"/>
  <c r="G111" i="3"/>
  <c r="F111" i="3"/>
  <c r="G19" i="3"/>
  <c r="F19" i="3"/>
  <c r="G9" i="3"/>
  <c r="F9" i="3"/>
  <c r="G13" i="3"/>
  <c r="F13" i="3"/>
  <c r="G5" i="3"/>
  <c r="F5" i="3"/>
  <c r="F212" i="3"/>
  <c r="G212" i="3"/>
  <c r="F279" i="3"/>
  <c r="G279" i="3"/>
  <c r="G314" i="3"/>
  <c r="F314" i="3"/>
  <c r="F232" i="3"/>
  <c r="G232" i="3"/>
  <c r="F288" i="3"/>
  <c r="G288" i="3"/>
  <c r="G239" i="3"/>
  <c r="F239" i="3"/>
  <c r="F204" i="3"/>
  <c r="G204" i="3"/>
  <c r="F215" i="3"/>
  <c r="G215" i="3"/>
  <c r="G191" i="3"/>
  <c r="F191" i="3"/>
  <c r="F102" i="3"/>
  <c r="G102" i="3"/>
  <c r="G135" i="3"/>
  <c r="F135" i="3"/>
  <c r="F192" i="3"/>
  <c r="G192" i="3"/>
  <c r="F26" i="3"/>
  <c r="G26" i="3"/>
  <c r="G16" i="3"/>
  <c r="F16" i="3"/>
  <c r="G67" i="3"/>
  <c r="F67" i="3"/>
  <c r="G8" i="3"/>
  <c r="F8" i="3"/>
  <c r="G59" i="3"/>
  <c r="F59" i="3"/>
  <c r="G79" i="3"/>
  <c r="F79" i="3"/>
  <c r="F14" i="3"/>
  <c r="G14" i="3"/>
  <c r="G20" i="3"/>
  <c r="F20" i="3"/>
  <c r="G85" i="3"/>
  <c r="F85" i="3"/>
  <c r="G81" i="3"/>
  <c r="F81" i="3"/>
  <c r="G322" i="3"/>
  <c r="F322" i="3"/>
  <c r="G286" i="3"/>
  <c r="F286" i="3"/>
  <c r="F336" i="3"/>
  <c r="G336" i="3"/>
  <c r="F257" i="3"/>
  <c r="G257" i="3"/>
  <c r="G350" i="3"/>
  <c r="F350" i="3"/>
  <c r="F291" i="3"/>
  <c r="G291" i="3"/>
  <c r="F300" i="3"/>
  <c r="G300" i="3"/>
  <c r="F315" i="3"/>
  <c r="G315" i="3"/>
  <c r="F280" i="3"/>
  <c r="G280" i="3"/>
  <c r="G334" i="3"/>
  <c r="F334" i="3"/>
  <c r="F268" i="3"/>
  <c r="G268" i="3"/>
  <c r="F327" i="3"/>
  <c r="G327" i="3"/>
  <c r="F320" i="3"/>
  <c r="G320" i="3"/>
  <c r="F335" i="3"/>
  <c r="G335" i="3"/>
  <c r="F287" i="3"/>
  <c r="G287" i="3"/>
  <c r="F267" i="3"/>
  <c r="G267" i="3"/>
  <c r="F271" i="3"/>
  <c r="G271" i="3"/>
  <c r="G223" i="3"/>
  <c r="F223" i="3"/>
  <c r="G243" i="3"/>
  <c r="F243" i="3"/>
  <c r="G245" i="3"/>
  <c r="F245" i="3"/>
  <c r="F203" i="3"/>
  <c r="G203" i="3"/>
  <c r="G116" i="3"/>
  <c r="F116" i="3"/>
  <c r="F167" i="3"/>
  <c r="G167" i="3"/>
  <c r="G106" i="3"/>
  <c r="F106" i="3"/>
  <c r="F180" i="3"/>
  <c r="G180" i="3"/>
  <c r="G130" i="3"/>
  <c r="F130" i="3"/>
  <c r="F195" i="3"/>
  <c r="G195" i="3"/>
  <c r="F118" i="3"/>
  <c r="G118" i="3"/>
  <c r="G78" i="3"/>
  <c r="F78" i="3"/>
  <c r="G91" i="3"/>
  <c r="F91" i="3"/>
  <c r="G40" i="3"/>
  <c r="F40" i="3"/>
  <c r="G11" i="3"/>
  <c r="F11" i="3"/>
  <c r="F112" i="3"/>
  <c r="G112" i="3"/>
  <c r="G31" i="3"/>
  <c r="F31" i="3"/>
  <c r="G51" i="3"/>
  <c r="F51" i="3"/>
  <c r="G33" i="3"/>
  <c r="F33" i="3"/>
  <c r="F323" i="3"/>
  <c r="G323" i="3"/>
  <c r="G302" i="3"/>
  <c r="F302" i="3"/>
  <c r="F348" i="3"/>
  <c r="G348" i="3"/>
  <c r="G235" i="3"/>
  <c r="F235" i="3"/>
  <c r="F339" i="3"/>
  <c r="G339" i="3"/>
  <c r="G318" i="3"/>
  <c r="F318" i="3"/>
  <c r="F343" i="3"/>
  <c r="G343" i="3"/>
  <c r="F308" i="3"/>
  <c r="G308" i="3"/>
  <c r="F303" i="3"/>
  <c r="G303" i="3"/>
  <c r="F258" i="3"/>
  <c r="G258" i="3"/>
  <c r="G273" i="3"/>
  <c r="F273" i="3"/>
  <c r="G282" i="3"/>
  <c r="F282" i="3"/>
  <c r="G261" i="3"/>
  <c r="F261" i="3"/>
  <c r="G237" i="3"/>
  <c r="F237" i="3"/>
  <c r="G176" i="3"/>
  <c r="F176" i="3"/>
  <c r="F216" i="3"/>
  <c r="G216" i="3"/>
  <c r="G115" i="3"/>
  <c r="F115" i="3"/>
  <c r="G225" i="3"/>
  <c r="F225" i="3"/>
  <c r="F236" i="3"/>
  <c r="G236" i="3"/>
  <c r="G82" i="3"/>
  <c r="F82" i="3"/>
  <c r="G121" i="3"/>
  <c r="F121" i="3"/>
  <c r="F184" i="3"/>
  <c r="G184" i="3"/>
  <c r="G70" i="3"/>
  <c r="F70" i="3"/>
  <c r="G10" i="3"/>
  <c r="F10" i="3"/>
  <c r="F30" i="3"/>
  <c r="G30" i="3"/>
  <c r="G3" i="3"/>
  <c r="F3" i="3"/>
  <c r="G110" i="3"/>
  <c r="F110" i="3"/>
  <c r="G44" i="3"/>
  <c r="F44" i="3"/>
  <c r="G72" i="3"/>
  <c r="F72" i="3"/>
  <c r="G15" i="3"/>
  <c r="F15" i="3"/>
  <c r="F126" i="3"/>
  <c r="G126" i="3"/>
  <c r="G50" i="3"/>
  <c r="F50" i="3"/>
  <c r="G29" i="3"/>
  <c r="F2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Synthetic dataset generated to resemble Lisbon weather over the last 12 months. Fields match your Python project structure and are suitable for visualizations.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Derived helper fields to speed up charts and pivot tables.</t>
        </r>
      </text>
    </comment>
  </commentList>
</comments>
</file>

<file path=xl/sharedStrings.xml><?xml version="1.0" encoding="utf-8"?>
<sst xmlns="http://schemas.openxmlformats.org/spreadsheetml/2006/main" count="730" uniqueCount="39">
  <si>
    <t>record_id</t>
  </si>
  <si>
    <t>timestamp</t>
  </si>
  <si>
    <t>name</t>
  </si>
  <si>
    <t>description</t>
  </si>
  <si>
    <t>Lisbon</t>
  </si>
  <si>
    <t>clear sky</t>
  </si>
  <si>
    <t>moderate rain</t>
  </si>
  <si>
    <t>scattered clouds</t>
  </si>
  <si>
    <t>light rain</t>
  </si>
  <si>
    <t>few clouds</t>
  </si>
  <si>
    <t>drizzle</t>
  </si>
  <si>
    <t>overcast clouds</t>
  </si>
  <si>
    <t>broken clouds</t>
  </si>
  <si>
    <t>thunderstorm</t>
  </si>
  <si>
    <t>mist</t>
  </si>
  <si>
    <t>Lisbon weather dataset (synthetic)</t>
  </si>
  <si>
    <t>Miasto</t>
  </si>
  <si>
    <t>Liczba rekordów</t>
  </si>
  <si>
    <t>Zakres dat</t>
  </si>
  <si>
    <t>Typ danych</t>
  </si>
  <si>
    <t>synthetic / generated</t>
  </si>
  <si>
    <t>Kolumny</t>
  </si>
  <si>
    <t>record_id, timestamp, name, temp_c, feels_like_c, humidity_pct, pressure_hpa, description, wind_speed_kmh</t>
  </si>
  <si>
    <t>Użycie</t>
  </si>
  <si>
    <t>Gotowe pod wykresy: trend temperatury, sezonowość, rozkład wilgotności, korelacja wiatr–odczuwalna temperatura.</t>
  </si>
  <si>
    <t>date_only</t>
  </si>
  <si>
    <t>year_month</t>
  </si>
  <si>
    <t>month_num</t>
  </si>
  <si>
    <t>month_name</t>
  </si>
  <si>
    <t>quarter</t>
  </si>
  <si>
    <t>season</t>
  </si>
  <si>
    <t>temp_delta</t>
  </si>
  <si>
    <t>rainy_flag</t>
  </si>
  <si>
    <t>windy_flag</t>
  </si>
  <si>
    <t>temp</t>
  </si>
  <si>
    <t>pressure</t>
  </si>
  <si>
    <t>wind_speed</t>
  </si>
  <si>
    <t>humidity</t>
  </si>
  <si>
    <t>feels_like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</si>
</sst>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"/>
    <numFmt numFmtId="165" formatCode="0.0"/>
    <numFmt numFmtId="166" formatCode="yyyy\-mm\-dd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1F1F1F"/>
      <name val="Calibri"/>
    </font>
    <font>
      <b/>
      <sz val="11"/>
      <name val="Calibri"/>
    </font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AF2F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4">
    <xf numFmtId="0" fontId="0" fillId="0" borderId="0" xfId="0"/>
    <xf numFmtId="0" fontId="1" fillId="2" borderId="0" xfId="1" applyFont="1" applyFill="1" applyAlignment="1">
      <alignment horizontal="center" vertical="center"/>
    </xf>
    <xf numFmtId="164" fontId="0" fillId="0" borderId="0" xfId="1" applyNumberFormat="1" applyFont="1"/>
    <xf numFmtId="165" fontId="0" fillId="0" borderId="0" xfId="1" applyNumberFormat="1" applyFont="1"/>
    <xf numFmtId="1" fontId="0" fillId="0" borderId="0" xfId="1" applyNumberFormat="1" applyFont="1"/>
    <xf numFmtId="0" fontId="3" fillId="4" borderId="0" xfId="1" applyFont="1" applyFill="1"/>
    <xf numFmtId="166" fontId="0" fillId="0" borderId="0" xfId="1" applyNumberFormat="1" applyFont="1"/>
    <xf numFmtId="164" fontId="4" fillId="0" borderId="0" xfId="1" applyNumberFormat="1" applyFont="1"/>
    <xf numFmtId="166" fontId="4" fillId="0" borderId="0" xfId="1" applyNumberFormat="1" applyFont="1"/>
    <xf numFmtId="0" fontId="4" fillId="0" borderId="0" xfId="1" applyFont="1"/>
    <xf numFmtId="165" fontId="4" fillId="0" borderId="0" xfId="1" applyNumberFormat="1" applyFont="1"/>
    <xf numFmtId="0" fontId="6" fillId="2" borderId="0" xfId="1" applyFont="1" applyFill="1" applyAlignment="1">
      <alignment horizontal="center" vertical="center"/>
    </xf>
    <xf numFmtId="0" fontId="2" fillId="3" borderId="0" xfId="1" applyFont="1" applyFill="1"/>
    <xf numFmtId="0" fontId="0" fillId="0" borderId="0" xfId="0"/>
  </cellXfs>
  <cellStyles count="2">
    <cellStyle name="Normal" xfId="1" xr:uid="{00000000-0005-0000-0000-000000000000}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e8986be3432f4462" Type="http://schemas.microsoft.com/office/2017/10/relationships/person" Target="persons/person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238125</xdr:colOff>
      <xdr:row>50</xdr:row>
      <xdr:rowOff>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C7F11C36-4CC7-42C1-4187-9AA3AB68BAE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238125</xdr:colOff>
      <xdr:row>50</xdr:row>
      <xdr:rowOff>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9528C78F-FE52-BF75-5301-807F999EE5B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238125</xdr:colOff>
      <xdr:row>50</xdr:row>
      <xdr:rowOff>0</xdr:rowOff>
    </xdr:to>
    <xdr:sp macro="" textlink="">
      <xdr:nvSpPr>
        <xdr:cNvPr id="2050" name="Text Box 2" hidden="1">
          <a:extLst>
            <a:ext uri="{FF2B5EF4-FFF2-40B4-BE49-F238E27FC236}">
              <a16:creationId xmlns:a16="http://schemas.microsoft.com/office/drawing/2014/main" id="{445BB162-989C-B867-FCEE-C7F4D31B561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238125</xdr:colOff>
      <xdr:row>50</xdr:row>
      <xdr:rowOff>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5BCB06EE-44E5-4D9F-55CB-2F454755FBD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OpenAI" id="{387739C1-DF38-B40B-770D-8034079241B7}"/>
  <xltc:person displayName="OpenAI" id="{1F9AEA14-E193-9263-5687-0FB99E8DB091}"/>
</xltc: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eatherData" displayName="WeatherData" ref="A1:I351">
  <autoFilter ref="A1:I351" xr:uid="{00000000-0009-0000-0100-000001000000}"/>
  <tableColumns count="9">
    <tableColumn id="1" xr3:uid="{00000000-0010-0000-0000-000001000000}" name="record_id"/>
    <tableColumn id="2" xr3:uid="{00000000-0010-0000-0000-000002000000}" name="timestamp"/>
    <tableColumn id="3" xr3:uid="{00000000-0010-0000-0000-000003000000}" name="name"/>
    <tableColumn id="4" xr3:uid="{00000000-0010-0000-0000-000004000000}" name="temp"/>
    <tableColumn id="5" xr3:uid="{00000000-0010-0000-0000-000005000000}" name="feels_like"/>
    <tableColumn id="6" xr3:uid="{00000000-0010-0000-0000-000006000000}" name="humidity"/>
    <tableColumn id="7" xr3:uid="{00000000-0010-0000-0000-000007000000}" name="pressure"/>
    <tableColumn id="8" xr3:uid="{00000000-0010-0000-0000-000008000000}" name="description"/>
    <tableColumn id="9" xr3:uid="{00000000-0010-0000-0000-000009000000}" name="wind_spe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VizHelper" displayName="VizHelper" ref="A1:J351">
  <autoFilter ref="A1:J351" xr:uid="{00000000-0009-0000-0100-000002000000}"/>
  <tableColumns count="10">
    <tableColumn id="1" xr3:uid="{00000000-0010-0000-0100-000001000000}" name="timestamp"/>
    <tableColumn id="2" xr3:uid="{00000000-0010-0000-0100-000002000000}" name="date_only"/>
    <tableColumn id="3" xr3:uid="{00000000-0010-0000-0100-000003000000}" name="year_month"/>
    <tableColumn id="4" xr3:uid="{00000000-0010-0000-0100-000004000000}" name="month_num"/>
    <tableColumn id="5" xr3:uid="{00000000-0010-0000-0100-000005000000}" name="month_name"/>
    <tableColumn id="6" xr3:uid="{00000000-0010-0000-0100-000006000000}" name="quarter"/>
    <tableColumn id="7" xr3:uid="{00000000-0010-0000-0100-000007000000}" name="season"/>
    <tableColumn id="8" xr3:uid="{00000000-0010-0000-0100-000008000000}" name="temp_delta"/>
    <tableColumn id="9" xr3:uid="{00000000-0010-0000-0100-000009000000}" name="rainy_flag"/>
    <tableColumn id="10" xr3:uid="{00000000-0010-0000-0100-00000A000000}" name="windy_fla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1"/>
  <sheetViews>
    <sheetView showGridLines="0" tabSelected="1" workbookViewId="0">
      <selection activeCell="E1" sqref="E1"/>
    </sheetView>
  </sheetViews>
  <sheetFormatPr defaultRowHeight="15" x14ac:dyDescent="0.25"/>
  <cols>
    <col min="1" max="1" width="10" customWidth="1"/>
    <col min="2" max="2" width="19" customWidth="1"/>
    <col min="3" max="3" width="12" customWidth="1"/>
    <col min="4" max="4" width="10" customWidth="1"/>
    <col min="5" max="7" width="12" customWidth="1"/>
    <col min="8" max="8" width="20" customWidth="1"/>
    <col min="9" max="9" width="14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1" t="s">
        <v>34</v>
      </c>
      <c r="E1" s="11" t="s">
        <v>38</v>
      </c>
      <c r="F1" s="11" t="s">
        <v>37</v>
      </c>
      <c r="G1" s="11" t="s">
        <v>35</v>
      </c>
      <c r="H1" s="11" t="s">
        <v>3</v>
      </c>
      <c r="I1" s="11" t="s">
        <v>36</v>
      </c>
    </row>
    <row r="2" spans="1:9" x14ac:dyDescent="0.25">
      <c r="A2">
        <v>1</v>
      </c>
      <c r="B2" s="2">
        <v>45754.590277777781</v>
      </c>
      <c r="C2" t="s">
        <v>4</v>
      </c>
      <c r="D2" s="3">
        <v>15.7</v>
      </c>
      <c r="E2" s="3">
        <v>14.7</v>
      </c>
      <c r="F2" s="4">
        <v>70</v>
      </c>
      <c r="G2" s="4">
        <v>1020</v>
      </c>
      <c r="H2" t="s">
        <v>5</v>
      </c>
      <c r="I2" s="3">
        <v>18.600000000000001</v>
      </c>
    </row>
    <row r="3" spans="1:9" x14ac:dyDescent="0.25">
      <c r="A3">
        <v>2</v>
      </c>
      <c r="B3" s="2">
        <v>45755.708333333343</v>
      </c>
      <c r="C3" t="s">
        <v>4</v>
      </c>
      <c r="D3" s="3">
        <v>16.7</v>
      </c>
      <c r="E3" s="3">
        <v>16.899999999999999</v>
      </c>
      <c r="F3" s="4">
        <v>85</v>
      </c>
      <c r="G3" s="4">
        <v>1015</v>
      </c>
      <c r="H3" t="s">
        <v>6</v>
      </c>
      <c r="I3" s="3">
        <v>26.6</v>
      </c>
    </row>
    <row r="4" spans="1:9" x14ac:dyDescent="0.25">
      <c r="A4">
        <v>3</v>
      </c>
      <c r="B4" s="2">
        <v>45756.555555555547</v>
      </c>
      <c r="C4" t="s">
        <v>4</v>
      </c>
      <c r="D4" s="3">
        <v>15.5</v>
      </c>
      <c r="E4" s="3">
        <v>14.6</v>
      </c>
      <c r="F4" s="4">
        <v>77</v>
      </c>
      <c r="G4" s="4">
        <v>1020</v>
      </c>
      <c r="H4" t="s">
        <v>7</v>
      </c>
      <c r="I4" s="3">
        <v>23.3</v>
      </c>
    </row>
    <row r="5" spans="1:9" x14ac:dyDescent="0.25">
      <c r="A5">
        <v>4</v>
      </c>
      <c r="B5" s="2">
        <v>45757.631944444453</v>
      </c>
      <c r="C5" t="s">
        <v>4</v>
      </c>
      <c r="D5" s="3">
        <v>18.3</v>
      </c>
      <c r="E5" s="3">
        <v>18.899999999999999</v>
      </c>
      <c r="F5" s="4">
        <v>69</v>
      </c>
      <c r="G5" s="4">
        <v>1022</v>
      </c>
      <c r="H5" t="s">
        <v>5</v>
      </c>
      <c r="I5" s="3">
        <v>17.2</v>
      </c>
    </row>
    <row r="6" spans="1:9" x14ac:dyDescent="0.25">
      <c r="A6">
        <v>5</v>
      </c>
      <c r="B6" s="2">
        <v>45758.861111111109</v>
      </c>
      <c r="C6" t="s">
        <v>4</v>
      </c>
      <c r="D6" s="3">
        <v>14.4</v>
      </c>
      <c r="E6" s="3">
        <v>14.6</v>
      </c>
      <c r="F6" s="4">
        <v>65</v>
      </c>
      <c r="G6" s="4">
        <v>1017</v>
      </c>
      <c r="H6" t="s">
        <v>5</v>
      </c>
      <c r="I6" s="3">
        <v>18.8</v>
      </c>
    </row>
    <row r="7" spans="1:9" x14ac:dyDescent="0.25">
      <c r="A7">
        <v>6</v>
      </c>
      <c r="B7" s="2">
        <v>45759.652777777781</v>
      </c>
      <c r="C7" t="s">
        <v>4</v>
      </c>
      <c r="D7" s="3">
        <v>16.100000000000001</v>
      </c>
      <c r="E7" s="3">
        <v>16.899999999999999</v>
      </c>
      <c r="F7" s="4">
        <v>84</v>
      </c>
      <c r="G7" s="4">
        <v>1016</v>
      </c>
      <c r="H7" t="s">
        <v>8</v>
      </c>
      <c r="I7" s="3">
        <v>19.2</v>
      </c>
    </row>
    <row r="8" spans="1:9" x14ac:dyDescent="0.25">
      <c r="A8">
        <v>7</v>
      </c>
      <c r="B8" s="2">
        <v>45760.284722222219</v>
      </c>
      <c r="C8" t="s">
        <v>4</v>
      </c>
      <c r="D8" s="3">
        <v>15</v>
      </c>
      <c r="E8" s="3">
        <v>15.1</v>
      </c>
      <c r="F8" s="4">
        <v>82</v>
      </c>
      <c r="G8" s="4">
        <v>1017</v>
      </c>
      <c r="H8" t="s">
        <v>5</v>
      </c>
      <c r="I8" s="3">
        <v>21</v>
      </c>
    </row>
    <row r="9" spans="1:9" x14ac:dyDescent="0.25">
      <c r="A9">
        <v>8</v>
      </c>
      <c r="B9" s="2">
        <v>45761.659722222219</v>
      </c>
      <c r="C9" t="s">
        <v>4</v>
      </c>
      <c r="D9" s="3">
        <v>17.2</v>
      </c>
      <c r="E9" s="3">
        <v>17.899999999999999</v>
      </c>
      <c r="F9" s="4">
        <v>81</v>
      </c>
      <c r="G9" s="4">
        <v>1018</v>
      </c>
      <c r="H9" t="s">
        <v>5</v>
      </c>
      <c r="I9" s="3">
        <v>25.4</v>
      </c>
    </row>
    <row r="10" spans="1:9" x14ac:dyDescent="0.25">
      <c r="A10">
        <v>9</v>
      </c>
      <c r="B10" s="2">
        <v>45762.381944444453</v>
      </c>
      <c r="C10" t="s">
        <v>4</v>
      </c>
      <c r="D10" s="3">
        <v>16.3</v>
      </c>
      <c r="E10" s="3">
        <v>16.3</v>
      </c>
      <c r="F10" s="4">
        <v>95</v>
      </c>
      <c r="G10" s="4">
        <v>1016</v>
      </c>
      <c r="H10" t="s">
        <v>6</v>
      </c>
      <c r="I10" s="3">
        <v>26.5</v>
      </c>
    </row>
    <row r="11" spans="1:9" x14ac:dyDescent="0.25">
      <c r="A11">
        <v>10</v>
      </c>
      <c r="B11" s="2">
        <v>45763.583333333343</v>
      </c>
      <c r="C11" t="s">
        <v>4</v>
      </c>
      <c r="D11" s="3">
        <v>18.5</v>
      </c>
      <c r="E11" s="3">
        <v>18.3</v>
      </c>
      <c r="F11" s="4">
        <v>63</v>
      </c>
      <c r="G11" s="4">
        <v>1022</v>
      </c>
      <c r="H11" t="s">
        <v>5</v>
      </c>
      <c r="I11" s="3">
        <v>17.600000000000001</v>
      </c>
    </row>
    <row r="12" spans="1:9" x14ac:dyDescent="0.25">
      <c r="A12">
        <v>11</v>
      </c>
      <c r="B12" s="2">
        <v>45764.409722222219</v>
      </c>
      <c r="C12" t="s">
        <v>4</v>
      </c>
      <c r="D12" s="3">
        <v>12.8</v>
      </c>
      <c r="E12" s="3">
        <v>12</v>
      </c>
      <c r="F12" s="4">
        <v>67</v>
      </c>
      <c r="G12" s="4">
        <v>1023</v>
      </c>
      <c r="H12" t="s">
        <v>5</v>
      </c>
      <c r="I12" s="3">
        <v>16.100000000000001</v>
      </c>
    </row>
    <row r="13" spans="1:9" x14ac:dyDescent="0.25">
      <c r="A13">
        <v>12</v>
      </c>
      <c r="B13" s="2">
        <v>45765.430555555547</v>
      </c>
      <c r="C13" t="s">
        <v>4</v>
      </c>
      <c r="D13" s="3">
        <v>15.9</v>
      </c>
      <c r="E13" s="3">
        <v>15.9</v>
      </c>
      <c r="F13" s="4">
        <v>88</v>
      </c>
      <c r="G13" s="4">
        <v>1014</v>
      </c>
      <c r="H13" t="s">
        <v>9</v>
      </c>
      <c r="I13" s="3">
        <v>17.100000000000001</v>
      </c>
    </row>
    <row r="14" spans="1:9" x14ac:dyDescent="0.25">
      <c r="A14">
        <v>13</v>
      </c>
      <c r="B14" s="2">
        <v>45766.652777777781</v>
      </c>
      <c r="C14" t="s">
        <v>4</v>
      </c>
      <c r="D14" s="3">
        <v>17</v>
      </c>
      <c r="E14" s="3">
        <v>16.2</v>
      </c>
      <c r="F14" s="4">
        <v>95</v>
      </c>
      <c r="G14" s="4">
        <v>1021</v>
      </c>
      <c r="H14" t="s">
        <v>10</v>
      </c>
      <c r="I14" s="3">
        <v>21.3</v>
      </c>
    </row>
    <row r="15" spans="1:9" x14ac:dyDescent="0.25">
      <c r="A15">
        <v>14</v>
      </c>
      <c r="B15" s="2">
        <v>45767.534722222219</v>
      </c>
      <c r="C15" t="s">
        <v>4</v>
      </c>
      <c r="D15" s="3">
        <v>18.399999999999999</v>
      </c>
      <c r="E15" s="3">
        <v>18.7</v>
      </c>
      <c r="F15" s="4">
        <v>72</v>
      </c>
      <c r="G15" s="4">
        <v>1016</v>
      </c>
      <c r="H15" t="s">
        <v>5</v>
      </c>
      <c r="I15" s="3">
        <v>26.7</v>
      </c>
    </row>
    <row r="16" spans="1:9" x14ac:dyDescent="0.25">
      <c r="A16">
        <v>15</v>
      </c>
      <c r="B16" s="2">
        <v>45768.673611111109</v>
      </c>
      <c r="C16" t="s">
        <v>4</v>
      </c>
      <c r="D16" s="3">
        <v>19.5</v>
      </c>
      <c r="E16" s="3">
        <v>20.5</v>
      </c>
      <c r="F16" s="4">
        <v>67</v>
      </c>
      <c r="G16" s="4">
        <v>1019</v>
      </c>
      <c r="H16" t="s">
        <v>11</v>
      </c>
      <c r="I16" s="3">
        <v>19.600000000000001</v>
      </c>
    </row>
    <row r="17" spans="1:9" x14ac:dyDescent="0.25">
      <c r="A17">
        <v>16</v>
      </c>
      <c r="B17" s="2">
        <v>45769.611111111109</v>
      </c>
      <c r="C17" t="s">
        <v>4</v>
      </c>
      <c r="D17" s="3">
        <v>19.899999999999999</v>
      </c>
      <c r="E17" s="3">
        <v>18.899999999999999</v>
      </c>
      <c r="F17" s="4">
        <v>77</v>
      </c>
      <c r="G17" s="4">
        <v>1010</v>
      </c>
      <c r="H17" t="s">
        <v>10</v>
      </c>
      <c r="I17" s="3">
        <v>17.600000000000001</v>
      </c>
    </row>
    <row r="18" spans="1:9" x14ac:dyDescent="0.25">
      <c r="A18">
        <v>17</v>
      </c>
      <c r="B18" s="2">
        <v>45770.888888888891</v>
      </c>
      <c r="C18" t="s">
        <v>4</v>
      </c>
      <c r="D18" s="3">
        <v>21.9</v>
      </c>
      <c r="E18" s="3">
        <v>21.3</v>
      </c>
      <c r="F18" s="4">
        <v>65</v>
      </c>
      <c r="G18" s="4">
        <v>1019</v>
      </c>
      <c r="H18" t="s">
        <v>8</v>
      </c>
      <c r="I18" s="3">
        <v>19.600000000000001</v>
      </c>
    </row>
    <row r="19" spans="1:9" x14ac:dyDescent="0.25">
      <c r="A19">
        <v>18</v>
      </c>
      <c r="B19" s="2">
        <v>45771.291666666657</v>
      </c>
      <c r="C19" t="s">
        <v>4</v>
      </c>
      <c r="D19" s="3">
        <v>16</v>
      </c>
      <c r="E19" s="3">
        <v>17.2</v>
      </c>
      <c r="F19" s="4">
        <v>67</v>
      </c>
      <c r="G19" s="4">
        <v>1020</v>
      </c>
      <c r="H19" t="s">
        <v>5</v>
      </c>
      <c r="I19" s="3">
        <v>20.7</v>
      </c>
    </row>
    <row r="20" spans="1:9" x14ac:dyDescent="0.25">
      <c r="A20">
        <v>19</v>
      </c>
      <c r="B20" s="2">
        <v>45772.805555555547</v>
      </c>
      <c r="C20" t="s">
        <v>4</v>
      </c>
      <c r="D20" s="3">
        <v>18.8</v>
      </c>
      <c r="E20" s="3">
        <v>18.399999999999999</v>
      </c>
      <c r="F20" s="4">
        <v>67</v>
      </c>
      <c r="G20" s="4">
        <v>1015</v>
      </c>
      <c r="H20" t="s">
        <v>11</v>
      </c>
      <c r="I20" s="3">
        <v>14.5</v>
      </c>
    </row>
    <row r="21" spans="1:9" x14ac:dyDescent="0.25">
      <c r="A21">
        <v>20</v>
      </c>
      <c r="B21" s="2">
        <v>45773.291666666657</v>
      </c>
      <c r="C21" t="s">
        <v>4</v>
      </c>
      <c r="D21" s="3">
        <v>13.9</v>
      </c>
      <c r="E21" s="3">
        <v>14.8</v>
      </c>
      <c r="F21" s="4">
        <v>69</v>
      </c>
      <c r="G21" s="4">
        <v>1020</v>
      </c>
      <c r="H21" t="s">
        <v>5</v>
      </c>
      <c r="I21" s="3">
        <v>16.3</v>
      </c>
    </row>
    <row r="22" spans="1:9" x14ac:dyDescent="0.25">
      <c r="A22">
        <v>21</v>
      </c>
      <c r="B22" s="2">
        <v>45774.673611111109</v>
      </c>
      <c r="C22" t="s">
        <v>4</v>
      </c>
      <c r="D22" s="3">
        <v>20</v>
      </c>
      <c r="E22" s="3">
        <v>21</v>
      </c>
      <c r="F22" s="4">
        <v>77</v>
      </c>
      <c r="G22" s="4">
        <v>1016</v>
      </c>
      <c r="H22" t="s">
        <v>11</v>
      </c>
      <c r="I22" s="3">
        <v>17</v>
      </c>
    </row>
    <row r="23" spans="1:9" x14ac:dyDescent="0.25">
      <c r="A23">
        <v>22</v>
      </c>
      <c r="B23" s="2">
        <v>45775.590277777781</v>
      </c>
      <c r="C23" t="s">
        <v>4</v>
      </c>
      <c r="D23" s="3">
        <v>15.9</v>
      </c>
      <c r="E23" s="3">
        <v>14.9</v>
      </c>
      <c r="F23" s="4">
        <v>71</v>
      </c>
      <c r="G23" s="4">
        <v>1019</v>
      </c>
      <c r="H23" t="s">
        <v>11</v>
      </c>
      <c r="I23" s="3">
        <v>23.3</v>
      </c>
    </row>
    <row r="24" spans="1:9" x14ac:dyDescent="0.25">
      <c r="A24">
        <v>23</v>
      </c>
      <c r="B24" s="2">
        <v>45776.861111111109</v>
      </c>
      <c r="C24" t="s">
        <v>4</v>
      </c>
      <c r="D24" s="3">
        <v>18.7</v>
      </c>
      <c r="E24" s="3">
        <v>18.5</v>
      </c>
      <c r="F24" s="4">
        <v>69</v>
      </c>
      <c r="G24" s="4">
        <v>1011</v>
      </c>
      <c r="H24" t="s">
        <v>5</v>
      </c>
      <c r="I24" s="3">
        <v>16.7</v>
      </c>
    </row>
    <row r="25" spans="1:9" x14ac:dyDescent="0.25">
      <c r="A25">
        <v>24</v>
      </c>
      <c r="B25" s="2">
        <v>45777.819444444453</v>
      </c>
      <c r="C25" t="s">
        <v>4</v>
      </c>
      <c r="D25" s="3">
        <v>18.5</v>
      </c>
      <c r="E25" s="3">
        <v>18.3</v>
      </c>
      <c r="F25" s="4">
        <v>86</v>
      </c>
      <c r="G25" s="4">
        <v>1017</v>
      </c>
      <c r="H25" t="s">
        <v>7</v>
      </c>
      <c r="I25" s="3">
        <v>17.3</v>
      </c>
    </row>
    <row r="26" spans="1:9" x14ac:dyDescent="0.25">
      <c r="A26">
        <v>25</v>
      </c>
      <c r="B26" s="2">
        <v>45778.25</v>
      </c>
      <c r="C26" t="s">
        <v>4</v>
      </c>
      <c r="D26" s="3">
        <v>15.4</v>
      </c>
      <c r="E26" s="3">
        <v>16.600000000000001</v>
      </c>
      <c r="F26" s="4">
        <v>76</v>
      </c>
      <c r="G26" s="4">
        <v>1021</v>
      </c>
      <c r="H26" t="s">
        <v>5</v>
      </c>
      <c r="I26" s="3">
        <v>18.5</v>
      </c>
    </row>
    <row r="27" spans="1:9" x14ac:dyDescent="0.25">
      <c r="A27">
        <v>26</v>
      </c>
      <c r="B27" s="2">
        <v>45779.368055555547</v>
      </c>
      <c r="C27" t="s">
        <v>4</v>
      </c>
      <c r="D27" s="3">
        <v>17.7</v>
      </c>
      <c r="E27" s="3">
        <v>17.600000000000001</v>
      </c>
      <c r="F27" s="4">
        <v>58</v>
      </c>
      <c r="G27" s="4">
        <v>1024</v>
      </c>
      <c r="H27" t="s">
        <v>11</v>
      </c>
      <c r="I27" s="3">
        <v>23</v>
      </c>
    </row>
    <row r="28" spans="1:9" x14ac:dyDescent="0.25">
      <c r="A28">
        <v>27</v>
      </c>
      <c r="B28" s="2">
        <v>45780.444444444453</v>
      </c>
      <c r="C28" t="s">
        <v>4</v>
      </c>
      <c r="D28" s="3">
        <v>16.2</v>
      </c>
      <c r="E28" s="3">
        <v>16.100000000000001</v>
      </c>
      <c r="F28" s="4">
        <v>79</v>
      </c>
      <c r="G28" s="4">
        <v>1023</v>
      </c>
      <c r="H28" t="s">
        <v>5</v>
      </c>
      <c r="I28" s="3">
        <v>17.5</v>
      </c>
    </row>
    <row r="29" spans="1:9" x14ac:dyDescent="0.25">
      <c r="A29">
        <v>28</v>
      </c>
      <c r="B29" s="2">
        <v>45781.305555555547</v>
      </c>
      <c r="C29" t="s">
        <v>4</v>
      </c>
      <c r="D29" s="3">
        <v>11.8</v>
      </c>
      <c r="E29" s="3">
        <v>13</v>
      </c>
      <c r="F29" s="4">
        <v>81</v>
      </c>
      <c r="G29" s="4">
        <v>1023</v>
      </c>
      <c r="H29" t="s">
        <v>5</v>
      </c>
      <c r="I29" s="3">
        <v>17.100000000000001</v>
      </c>
    </row>
    <row r="30" spans="1:9" x14ac:dyDescent="0.25">
      <c r="A30">
        <v>29</v>
      </c>
      <c r="B30" s="2">
        <v>45782.4375</v>
      </c>
      <c r="C30" t="s">
        <v>4</v>
      </c>
      <c r="D30" s="3">
        <v>14.1</v>
      </c>
      <c r="E30" s="3">
        <v>13.3</v>
      </c>
      <c r="F30" s="4">
        <v>65</v>
      </c>
      <c r="G30" s="4">
        <v>1019</v>
      </c>
      <c r="H30" t="s">
        <v>5</v>
      </c>
      <c r="I30" s="3">
        <v>15.6</v>
      </c>
    </row>
    <row r="31" spans="1:9" x14ac:dyDescent="0.25">
      <c r="A31">
        <v>30</v>
      </c>
      <c r="B31" s="2">
        <v>45783.416666666657</v>
      </c>
      <c r="C31" t="s">
        <v>4</v>
      </c>
      <c r="D31" s="3">
        <v>16.7</v>
      </c>
      <c r="E31" s="3">
        <v>17.7</v>
      </c>
      <c r="F31" s="4">
        <v>70</v>
      </c>
      <c r="G31" s="4">
        <v>1019</v>
      </c>
      <c r="H31" t="s">
        <v>5</v>
      </c>
      <c r="I31" s="3">
        <v>20.5</v>
      </c>
    </row>
    <row r="32" spans="1:9" x14ac:dyDescent="0.25">
      <c r="A32">
        <v>31</v>
      </c>
      <c r="B32" s="2">
        <v>45784.638888888891</v>
      </c>
      <c r="C32" t="s">
        <v>4</v>
      </c>
      <c r="D32" s="3">
        <v>19.100000000000001</v>
      </c>
      <c r="E32" s="3">
        <v>19.2</v>
      </c>
      <c r="F32" s="4">
        <v>84</v>
      </c>
      <c r="G32" s="4">
        <v>1014</v>
      </c>
      <c r="H32" t="s">
        <v>9</v>
      </c>
      <c r="I32" s="3">
        <v>17.2</v>
      </c>
    </row>
    <row r="33" spans="1:9" x14ac:dyDescent="0.25">
      <c r="A33">
        <v>32</v>
      </c>
      <c r="B33" s="2">
        <v>45785.305555555547</v>
      </c>
      <c r="C33" t="s">
        <v>4</v>
      </c>
      <c r="D33" s="3">
        <v>17</v>
      </c>
      <c r="E33" s="3">
        <v>17.399999999999999</v>
      </c>
      <c r="F33" s="4">
        <v>72</v>
      </c>
      <c r="G33" s="4">
        <v>1016</v>
      </c>
      <c r="H33" t="s">
        <v>9</v>
      </c>
      <c r="I33" s="3">
        <v>17.2</v>
      </c>
    </row>
    <row r="34" spans="1:9" x14ac:dyDescent="0.25">
      <c r="A34">
        <v>33</v>
      </c>
      <c r="B34" s="2">
        <v>45786.534722222219</v>
      </c>
      <c r="C34" t="s">
        <v>4</v>
      </c>
      <c r="D34" s="3">
        <v>16.8</v>
      </c>
      <c r="E34" s="3">
        <v>18</v>
      </c>
      <c r="F34" s="4">
        <v>80</v>
      </c>
      <c r="G34" s="4">
        <v>1017</v>
      </c>
      <c r="H34" t="s">
        <v>9</v>
      </c>
      <c r="I34" s="3">
        <v>15.6</v>
      </c>
    </row>
    <row r="35" spans="1:9" x14ac:dyDescent="0.25">
      <c r="A35">
        <v>34</v>
      </c>
      <c r="B35" s="2">
        <v>45787.576388888891</v>
      </c>
      <c r="C35" t="s">
        <v>4</v>
      </c>
      <c r="D35" s="3">
        <v>18.600000000000001</v>
      </c>
      <c r="E35" s="3">
        <v>18.3</v>
      </c>
      <c r="F35" s="4">
        <v>66</v>
      </c>
      <c r="G35" s="4">
        <v>1020</v>
      </c>
      <c r="H35" t="s">
        <v>5</v>
      </c>
      <c r="I35" s="3">
        <v>17.5</v>
      </c>
    </row>
    <row r="36" spans="1:9" x14ac:dyDescent="0.25">
      <c r="A36">
        <v>35</v>
      </c>
      <c r="B36" s="2">
        <v>45788.388888888891</v>
      </c>
      <c r="C36" t="s">
        <v>4</v>
      </c>
      <c r="D36" s="3">
        <v>18</v>
      </c>
      <c r="E36" s="3">
        <v>18.7</v>
      </c>
      <c r="F36" s="4">
        <v>80</v>
      </c>
      <c r="G36" s="4">
        <v>1015</v>
      </c>
      <c r="H36" t="s">
        <v>5</v>
      </c>
      <c r="I36" s="3">
        <v>19.8</v>
      </c>
    </row>
    <row r="37" spans="1:9" x14ac:dyDescent="0.25">
      <c r="A37">
        <v>36</v>
      </c>
      <c r="B37" s="2">
        <v>45789.819444444453</v>
      </c>
      <c r="C37" t="s">
        <v>4</v>
      </c>
      <c r="D37" s="3">
        <v>20</v>
      </c>
      <c r="E37" s="3">
        <v>19.3</v>
      </c>
      <c r="F37" s="4">
        <v>91</v>
      </c>
      <c r="G37" s="4">
        <v>1017</v>
      </c>
      <c r="H37" t="s">
        <v>8</v>
      </c>
      <c r="I37" s="3">
        <v>15.2</v>
      </c>
    </row>
    <row r="38" spans="1:9" x14ac:dyDescent="0.25">
      <c r="A38">
        <v>37</v>
      </c>
      <c r="B38" s="2">
        <v>45790.423611111109</v>
      </c>
      <c r="C38" t="s">
        <v>4</v>
      </c>
      <c r="D38" s="3">
        <v>15.2</v>
      </c>
      <c r="E38" s="3">
        <v>16.2</v>
      </c>
      <c r="F38" s="4">
        <v>84</v>
      </c>
      <c r="G38" s="4">
        <v>1019</v>
      </c>
      <c r="H38" t="s">
        <v>11</v>
      </c>
      <c r="I38" s="3">
        <v>19</v>
      </c>
    </row>
    <row r="39" spans="1:9" x14ac:dyDescent="0.25">
      <c r="A39">
        <v>38</v>
      </c>
      <c r="B39" s="2">
        <v>45791.465277777781</v>
      </c>
      <c r="C39" t="s">
        <v>4</v>
      </c>
      <c r="D39" s="3">
        <v>19.399999999999999</v>
      </c>
      <c r="E39" s="3">
        <v>18.5</v>
      </c>
      <c r="F39" s="4">
        <v>77</v>
      </c>
      <c r="G39" s="4">
        <v>1017</v>
      </c>
      <c r="H39" t="s">
        <v>7</v>
      </c>
      <c r="I39" s="3">
        <v>14.9</v>
      </c>
    </row>
    <row r="40" spans="1:9" x14ac:dyDescent="0.25">
      <c r="A40">
        <v>39</v>
      </c>
      <c r="B40" s="2">
        <v>45792.791666666657</v>
      </c>
      <c r="C40" t="s">
        <v>4</v>
      </c>
      <c r="D40" s="3">
        <v>22.6</v>
      </c>
      <c r="E40" s="3">
        <v>23</v>
      </c>
      <c r="F40" s="4">
        <v>66</v>
      </c>
      <c r="G40" s="4">
        <v>1013</v>
      </c>
      <c r="H40" t="s">
        <v>5</v>
      </c>
      <c r="I40" s="3">
        <v>17.399999999999999</v>
      </c>
    </row>
    <row r="41" spans="1:9" x14ac:dyDescent="0.25">
      <c r="A41">
        <v>40</v>
      </c>
      <c r="B41" s="2">
        <v>45793.493055555547</v>
      </c>
      <c r="C41" t="s">
        <v>4</v>
      </c>
      <c r="D41" s="3">
        <v>17.600000000000001</v>
      </c>
      <c r="E41" s="3">
        <v>16.5</v>
      </c>
      <c r="F41" s="4">
        <v>74</v>
      </c>
      <c r="G41" s="4">
        <v>1013</v>
      </c>
      <c r="H41" t="s">
        <v>9</v>
      </c>
      <c r="I41" s="3">
        <v>18.100000000000001</v>
      </c>
    </row>
    <row r="42" spans="1:9" x14ac:dyDescent="0.25">
      <c r="A42">
        <v>41</v>
      </c>
      <c r="B42" s="2">
        <v>45794.6875</v>
      </c>
      <c r="C42" t="s">
        <v>4</v>
      </c>
      <c r="D42" s="3">
        <v>17.899999999999999</v>
      </c>
      <c r="E42" s="3">
        <v>18.3</v>
      </c>
      <c r="F42" s="4">
        <v>85</v>
      </c>
      <c r="G42" s="4">
        <v>1017</v>
      </c>
      <c r="H42" t="s">
        <v>12</v>
      </c>
      <c r="I42" s="3">
        <v>13.9</v>
      </c>
    </row>
    <row r="43" spans="1:9" x14ac:dyDescent="0.25">
      <c r="A43">
        <v>42</v>
      </c>
      <c r="B43" s="2">
        <v>45795.555555555547</v>
      </c>
      <c r="C43" t="s">
        <v>4</v>
      </c>
      <c r="D43" s="3">
        <v>17.8</v>
      </c>
      <c r="E43" s="3">
        <v>17.2</v>
      </c>
      <c r="F43" s="4">
        <v>58</v>
      </c>
      <c r="G43" s="4">
        <v>1011</v>
      </c>
      <c r="H43" t="s">
        <v>5</v>
      </c>
      <c r="I43" s="3">
        <v>19.600000000000001</v>
      </c>
    </row>
    <row r="44" spans="1:9" x14ac:dyDescent="0.25">
      <c r="A44">
        <v>43</v>
      </c>
      <c r="B44" s="2">
        <v>45796.493055555547</v>
      </c>
      <c r="C44" t="s">
        <v>4</v>
      </c>
      <c r="D44" s="3">
        <v>18.2</v>
      </c>
      <c r="E44" s="3">
        <v>18.8</v>
      </c>
      <c r="F44" s="4">
        <v>93</v>
      </c>
      <c r="G44" s="4">
        <v>1016</v>
      </c>
      <c r="H44" t="s">
        <v>10</v>
      </c>
      <c r="I44" s="3">
        <v>18.100000000000001</v>
      </c>
    </row>
    <row r="45" spans="1:9" x14ac:dyDescent="0.25">
      <c r="A45">
        <v>44</v>
      </c>
      <c r="B45" s="2">
        <v>45797.395833333343</v>
      </c>
      <c r="C45" t="s">
        <v>4</v>
      </c>
      <c r="D45" s="3">
        <v>16.100000000000001</v>
      </c>
      <c r="E45" s="3">
        <v>16.899999999999999</v>
      </c>
      <c r="F45" s="4">
        <v>86</v>
      </c>
      <c r="G45" s="4">
        <v>1012</v>
      </c>
      <c r="H45" t="s">
        <v>6</v>
      </c>
      <c r="I45" s="3">
        <v>25.2</v>
      </c>
    </row>
    <row r="46" spans="1:9" x14ac:dyDescent="0.25">
      <c r="A46">
        <v>45</v>
      </c>
      <c r="B46" s="2">
        <v>45798.3125</v>
      </c>
      <c r="C46" t="s">
        <v>4</v>
      </c>
      <c r="D46" s="3">
        <v>17.899999999999999</v>
      </c>
      <c r="E46" s="3">
        <v>16.8</v>
      </c>
      <c r="F46" s="4">
        <v>68</v>
      </c>
      <c r="G46" s="4">
        <v>1014</v>
      </c>
      <c r="H46" t="s">
        <v>7</v>
      </c>
      <c r="I46" s="3">
        <v>17.3</v>
      </c>
    </row>
    <row r="47" spans="1:9" x14ac:dyDescent="0.25">
      <c r="A47">
        <v>46</v>
      </c>
      <c r="B47" s="2">
        <v>45799.548611111109</v>
      </c>
      <c r="C47" t="s">
        <v>4</v>
      </c>
      <c r="D47" s="3">
        <v>19.2</v>
      </c>
      <c r="E47" s="3">
        <v>20.100000000000001</v>
      </c>
      <c r="F47" s="4">
        <v>59</v>
      </c>
      <c r="G47" s="4">
        <v>1010</v>
      </c>
      <c r="H47" t="s">
        <v>5</v>
      </c>
      <c r="I47" s="3">
        <v>15.4</v>
      </c>
    </row>
    <row r="48" spans="1:9" x14ac:dyDescent="0.25">
      <c r="A48">
        <v>47</v>
      </c>
      <c r="B48" s="2">
        <v>45800.847222222219</v>
      </c>
      <c r="C48" t="s">
        <v>4</v>
      </c>
      <c r="D48" s="3">
        <v>22.1</v>
      </c>
      <c r="E48" s="3">
        <v>22</v>
      </c>
      <c r="F48" s="4">
        <v>75</v>
      </c>
      <c r="G48" s="4">
        <v>1019</v>
      </c>
      <c r="H48" t="s">
        <v>5</v>
      </c>
      <c r="I48" s="3">
        <v>13.5</v>
      </c>
    </row>
    <row r="49" spans="1:9" x14ac:dyDescent="0.25">
      <c r="A49">
        <v>48</v>
      </c>
      <c r="B49" s="2">
        <v>45801.631944444453</v>
      </c>
      <c r="C49" t="s">
        <v>4</v>
      </c>
      <c r="D49" s="3">
        <v>20.100000000000001</v>
      </c>
      <c r="E49" s="3">
        <v>21.2</v>
      </c>
      <c r="F49" s="4">
        <v>78</v>
      </c>
      <c r="G49" s="4">
        <v>1014</v>
      </c>
      <c r="H49" t="s">
        <v>6</v>
      </c>
      <c r="I49" s="3">
        <v>22.2</v>
      </c>
    </row>
    <row r="50" spans="1:9" x14ac:dyDescent="0.25">
      <c r="A50">
        <v>49</v>
      </c>
      <c r="B50" s="2">
        <v>45802.541666666657</v>
      </c>
      <c r="C50" t="s">
        <v>4</v>
      </c>
      <c r="D50" s="3">
        <v>19.100000000000001</v>
      </c>
      <c r="E50" s="3">
        <v>18.2</v>
      </c>
      <c r="F50" s="4">
        <v>59</v>
      </c>
      <c r="G50" s="4">
        <v>1008</v>
      </c>
      <c r="H50" t="s">
        <v>5</v>
      </c>
      <c r="I50" s="3">
        <v>22.3</v>
      </c>
    </row>
    <row r="51" spans="1:9" x14ac:dyDescent="0.25">
      <c r="A51">
        <v>50</v>
      </c>
      <c r="B51" s="2">
        <v>45803.520833333343</v>
      </c>
      <c r="C51" t="s">
        <v>4</v>
      </c>
      <c r="D51" s="3">
        <v>20.3</v>
      </c>
      <c r="E51" s="3">
        <v>20.7</v>
      </c>
      <c r="F51" s="4">
        <v>59</v>
      </c>
      <c r="G51" s="4">
        <v>1014</v>
      </c>
      <c r="H51" t="s">
        <v>5</v>
      </c>
      <c r="I51" s="3">
        <v>16.8</v>
      </c>
    </row>
    <row r="52" spans="1:9" x14ac:dyDescent="0.25">
      <c r="A52">
        <v>51</v>
      </c>
      <c r="B52" s="2">
        <v>45804.680555555547</v>
      </c>
      <c r="C52" t="s">
        <v>4</v>
      </c>
      <c r="D52" s="3">
        <v>19.3</v>
      </c>
      <c r="E52" s="3">
        <v>20.100000000000001</v>
      </c>
      <c r="F52" s="4">
        <v>78</v>
      </c>
      <c r="G52" s="4">
        <v>1018</v>
      </c>
      <c r="H52" t="s">
        <v>9</v>
      </c>
      <c r="I52" s="3">
        <v>18.899999999999999</v>
      </c>
    </row>
    <row r="53" spans="1:9" x14ac:dyDescent="0.25">
      <c r="A53">
        <v>52</v>
      </c>
      <c r="B53" s="2">
        <v>45805.347222222219</v>
      </c>
      <c r="C53" t="s">
        <v>4</v>
      </c>
      <c r="D53" s="3">
        <v>17.100000000000001</v>
      </c>
      <c r="E53" s="3">
        <v>17</v>
      </c>
      <c r="F53" s="4">
        <v>76</v>
      </c>
      <c r="G53" s="4">
        <v>1017</v>
      </c>
      <c r="H53" t="s">
        <v>7</v>
      </c>
      <c r="I53" s="3">
        <v>19.399999999999999</v>
      </c>
    </row>
    <row r="54" spans="1:9" x14ac:dyDescent="0.25">
      <c r="A54">
        <v>53</v>
      </c>
      <c r="B54" s="2">
        <v>45806.743055555547</v>
      </c>
      <c r="C54" t="s">
        <v>4</v>
      </c>
      <c r="D54" s="3">
        <v>21.1</v>
      </c>
      <c r="E54" s="3">
        <v>21.5</v>
      </c>
      <c r="F54" s="4">
        <v>54</v>
      </c>
      <c r="G54" s="4">
        <v>1019</v>
      </c>
      <c r="H54" t="s">
        <v>5</v>
      </c>
      <c r="I54" s="3">
        <v>25</v>
      </c>
    </row>
    <row r="55" spans="1:9" x14ac:dyDescent="0.25">
      <c r="A55">
        <v>54</v>
      </c>
      <c r="B55" s="2">
        <v>45808.784722222219</v>
      </c>
      <c r="C55" t="s">
        <v>4</v>
      </c>
      <c r="D55" s="3">
        <v>22</v>
      </c>
      <c r="E55" s="3">
        <v>22.8</v>
      </c>
      <c r="F55" s="4">
        <v>65</v>
      </c>
      <c r="G55" s="4">
        <v>1018</v>
      </c>
      <c r="H55" t="s">
        <v>7</v>
      </c>
      <c r="I55" s="3">
        <v>14.4</v>
      </c>
    </row>
    <row r="56" spans="1:9" x14ac:dyDescent="0.25">
      <c r="A56">
        <v>55</v>
      </c>
      <c r="B56" s="2">
        <v>45809.666666666657</v>
      </c>
      <c r="C56" t="s">
        <v>4</v>
      </c>
      <c r="D56" s="3">
        <v>22</v>
      </c>
      <c r="E56" s="3">
        <v>22.2</v>
      </c>
      <c r="F56" s="4">
        <v>65</v>
      </c>
      <c r="G56" s="4">
        <v>1023</v>
      </c>
      <c r="H56" t="s">
        <v>5</v>
      </c>
      <c r="I56" s="3">
        <v>15.4</v>
      </c>
    </row>
    <row r="57" spans="1:9" x14ac:dyDescent="0.25">
      <c r="A57">
        <v>56</v>
      </c>
      <c r="B57" s="2">
        <v>45810.388888888891</v>
      </c>
      <c r="C57" t="s">
        <v>4</v>
      </c>
      <c r="D57" s="3">
        <v>17.7</v>
      </c>
      <c r="E57" s="3">
        <v>18.600000000000001</v>
      </c>
      <c r="F57" s="4">
        <v>55</v>
      </c>
      <c r="G57" s="4">
        <v>1016</v>
      </c>
      <c r="H57" t="s">
        <v>5</v>
      </c>
      <c r="I57" s="3">
        <v>14.6</v>
      </c>
    </row>
    <row r="58" spans="1:9" x14ac:dyDescent="0.25">
      <c r="A58">
        <v>57</v>
      </c>
      <c r="B58" s="2">
        <v>45811.486111111109</v>
      </c>
      <c r="C58" t="s">
        <v>4</v>
      </c>
      <c r="D58" s="3">
        <v>18.899999999999999</v>
      </c>
      <c r="E58" s="3">
        <v>18</v>
      </c>
      <c r="F58" s="4">
        <v>58</v>
      </c>
      <c r="G58" s="4">
        <v>1020</v>
      </c>
      <c r="H58" t="s">
        <v>5</v>
      </c>
      <c r="I58" s="3">
        <v>19.8</v>
      </c>
    </row>
    <row r="59" spans="1:9" x14ac:dyDescent="0.25">
      <c r="A59">
        <v>58</v>
      </c>
      <c r="B59" s="2">
        <v>45812.583333333343</v>
      </c>
      <c r="C59" t="s">
        <v>4</v>
      </c>
      <c r="D59" s="3">
        <v>21.9</v>
      </c>
      <c r="E59" s="3">
        <v>22.5</v>
      </c>
      <c r="F59" s="4">
        <v>75</v>
      </c>
      <c r="G59" s="4">
        <v>1010</v>
      </c>
      <c r="H59" t="s">
        <v>12</v>
      </c>
      <c r="I59" s="3">
        <v>15.6</v>
      </c>
    </row>
    <row r="60" spans="1:9" x14ac:dyDescent="0.25">
      <c r="A60">
        <v>59</v>
      </c>
      <c r="B60" s="2">
        <v>45813.402777777781</v>
      </c>
      <c r="C60" t="s">
        <v>4</v>
      </c>
      <c r="D60" s="3">
        <v>15.3</v>
      </c>
      <c r="E60" s="3">
        <v>16.2</v>
      </c>
      <c r="F60" s="4">
        <v>70</v>
      </c>
      <c r="G60" s="4">
        <v>1019</v>
      </c>
      <c r="H60" t="s">
        <v>5</v>
      </c>
      <c r="I60" s="3">
        <v>16.399999999999999</v>
      </c>
    </row>
    <row r="61" spans="1:9" x14ac:dyDescent="0.25">
      <c r="A61">
        <v>60</v>
      </c>
      <c r="B61" s="2">
        <v>45814.805555555547</v>
      </c>
      <c r="C61" t="s">
        <v>4</v>
      </c>
      <c r="D61" s="3">
        <v>20.6</v>
      </c>
      <c r="E61" s="3">
        <v>20.5</v>
      </c>
      <c r="F61" s="4">
        <v>65</v>
      </c>
      <c r="G61" s="4">
        <v>1017</v>
      </c>
      <c r="H61" t="s">
        <v>5</v>
      </c>
      <c r="I61" s="3">
        <v>16</v>
      </c>
    </row>
    <row r="62" spans="1:9" x14ac:dyDescent="0.25">
      <c r="A62">
        <v>61</v>
      </c>
      <c r="B62" s="2">
        <v>45815.6875</v>
      </c>
      <c r="C62" t="s">
        <v>4</v>
      </c>
      <c r="D62" s="3">
        <v>21</v>
      </c>
      <c r="E62" s="3">
        <v>19.899999999999999</v>
      </c>
      <c r="F62" s="4">
        <v>67</v>
      </c>
      <c r="G62" s="4">
        <v>1007</v>
      </c>
      <c r="H62" t="s">
        <v>8</v>
      </c>
      <c r="I62" s="3">
        <v>22.5</v>
      </c>
    </row>
    <row r="63" spans="1:9" x14ac:dyDescent="0.25">
      <c r="A63">
        <v>62</v>
      </c>
      <c r="B63" s="2">
        <v>45816.395833333343</v>
      </c>
      <c r="C63" t="s">
        <v>4</v>
      </c>
      <c r="D63" s="3">
        <v>16.7</v>
      </c>
      <c r="E63" s="3">
        <v>17.600000000000001</v>
      </c>
      <c r="F63" s="4">
        <v>75</v>
      </c>
      <c r="G63" s="4">
        <v>1012</v>
      </c>
      <c r="H63" t="s">
        <v>9</v>
      </c>
      <c r="I63" s="3">
        <v>14.7</v>
      </c>
    </row>
    <row r="64" spans="1:9" x14ac:dyDescent="0.25">
      <c r="A64">
        <v>63</v>
      </c>
      <c r="B64" s="2">
        <v>45817.513888888891</v>
      </c>
      <c r="C64" t="s">
        <v>4</v>
      </c>
      <c r="D64" s="3">
        <v>17.5</v>
      </c>
      <c r="E64" s="3">
        <v>16.3</v>
      </c>
      <c r="F64" s="4">
        <v>62</v>
      </c>
      <c r="G64" s="4">
        <v>1019</v>
      </c>
      <c r="H64" t="s">
        <v>9</v>
      </c>
      <c r="I64" s="3">
        <v>19.7</v>
      </c>
    </row>
    <row r="65" spans="1:9" x14ac:dyDescent="0.25">
      <c r="A65">
        <v>64</v>
      </c>
      <c r="B65" s="2">
        <v>45818.326388888891</v>
      </c>
      <c r="C65" t="s">
        <v>4</v>
      </c>
      <c r="D65" s="3">
        <v>16.899999999999999</v>
      </c>
      <c r="E65" s="3">
        <v>17.5</v>
      </c>
      <c r="F65" s="4">
        <v>80</v>
      </c>
      <c r="G65" s="4">
        <v>1021</v>
      </c>
      <c r="H65" t="s">
        <v>9</v>
      </c>
      <c r="I65" s="3">
        <v>23.6</v>
      </c>
    </row>
    <row r="66" spans="1:9" x14ac:dyDescent="0.25">
      <c r="A66">
        <v>65</v>
      </c>
      <c r="B66" s="2">
        <v>45819.791666666657</v>
      </c>
      <c r="C66" t="s">
        <v>4</v>
      </c>
      <c r="D66" s="3">
        <v>21.5</v>
      </c>
      <c r="E66" s="3">
        <v>21.9</v>
      </c>
      <c r="F66" s="4">
        <v>60</v>
      </c>
      <c r="G66" s="4">
        <v>1016</v>
      </c>
      <c r="H66" t="s">
        <v>5</v>
      </c>
      <c r="I66" s="3">
        <v>15.7</v>
      </c>
    </row>
    <row r="67" spans="1:9" x14ac:dyDescent="0.25">
      <c r="A67">
        <v>66</v>
      </c>
      <c r="B67" s="2">
        <v>45821.513888888891</v>
      </c>
      <c r="C67" t="s">
        <v>4</v>
      </c>
      <c r="D67" s="3">
        <v>19.2</v>
      </c>
      <c r="E67" s="3">
        <v>19.399999999999999</v>
      </c>
      <c r="F67" s="4">
        <v>68</v>
      </c>
      <c r="G67" s="4">
        <v>1013</v>
      </c>
      <c r="H67" t="s">
        <v>5</v>
      </c>
      <c r="I67" s="3">
        <v>13.4</v>
      </c>
    </row>
    <row r="68" spans="1:9" x14ac:dyDescent="0.25">
      <c r="A68">
        <v>67</v>
      </c>
      <c r="B68" s="2">
        <v>45822.791666666657</v>
      </c>
      <c r="C68" t="s">
        <v>4</v>
      </c>
      <c r="D68" s="3">
        <v>25.1</v>
      </c>
      <c r="E68" s="3">
        <v>24.8</v>
      </c>
      <c r="F68" s="4">
        <v>76</v>
      </c>
      <c r="G68" s="4">
        <v>1015</v>
      </c>
      <c r="H68" t="s">
        <v>6</v>
      </c>
      <c r="I68" s="3">
        <v>20.6</v>
      </c>
    </row>
    <row r="69" spans="1:9" x14ac:dyDescent="0.25">
      <c r="A69">
        <v>68</v>
      </c>
      <c r="B69" s="2">
        <v>45823.694444444453</v>
      </c>
      <c r="C69" t="s">
        <v>4</v>
      </c>
      <c r="D69" s="3">
        <v>21.2</v>
      </c>
      <c r="E69" s="3">
        <v>21.9</v>
      </c>
      <c r="F69" s="4">
        <v>62</v>
      </c>
      <c r="G69" s="4">
        <v>1008</v>
      </c>
      <c r="H69" t="s">
        <v>13</v>
      </c>
      <c r="I69" s="3">
        <v>21.8</v>
      </c>
    </row>
    <row r="70" spans="1:9" x14ac:dyDescent="0.25">
      <c r="A70">
        <v>69</v>
      </c>
      <c r="B70" s="2">
        <v>45824.701388888891</v>
      </c>
      <c r="C70" t="s">
        <v>4</v>
      </c>
      <c r="D70" s="3">
        <v>19.7</v>
      </c>
      <c r="E70" s="3">
        <v>19</v>
      </c>
      <c r="F70" s="4">
        <v>64</v>
      </c>
      <c r="G70" s="4">
        <v>1013</v>
      </c>
      <c r="H70" t="s">
        <v>13</v>
      </c>
      <c r="I70" s="3">
        <v>23.2</v>
      </c>
    </row>
    <row r="71" spans="1:9" x14ac:dyDescent="0.25">
      <c r="A71">
        <v>70</v>
      </c>
      <c r="B71" s="2">
        <v>45825.409722222219</v>
      </c>
      <c r="C71" t="s">
        <v>4</v>
      </c>
      <c r="D71" s="3">
        <v>18.2</v>
      </c>
      <c r="E71" s="3">
        <v>19.3</v>
      </c>
      <c r="F71" s="4">
        <v>52</v>
      </c>
      <c r="G71" s="4">
        <v>1019</v>
      </c>
      <c r="H71" t="s">
        <v>5</v>
      </c>
      <c r="I71" s="3">
        <v>18.100000000000001</v>
      </c>
    </row>
    <row r="72" spans="1:9" x14ac:dyDescent="0.25">
      <c r="A72">
        <v>71</v>
      </c>
      <c r="B72" s="2">
        <v>45827.652777777781</v>
      </c>
      <c r="C72" t="s">
        <v>4</v>
      </c>
      <c r="D72" s="3">
        <v>22.8</v>
      </c>
      <c r="E72" s="3">
        <v>21.7</v>
      </c>
      <c r="F72" s="4">
        <v>62</v>
      </c>
      <c r="G72" s="4">
        <v>1014</v>
      </c>
      <c r="H72" t="s">
        <v>5</v>
      </c>
      <c r="I72" s="3">
        <v>19.5</v>
      </c>
    </row>
    <row r="73" spans="1:9" x14ac:dyDescent="0.25">
      <c r="A73">
        <v>72</v>
      </c>
      <c r="B73" s="2">
        <v>45829.659722222219</v>
      </c>
      <c r="C73" t="s">
        <v>4</v>
      </c>
      <c r="D73" s="3">
        <v>21.7</v>
      </c>
      <c r="E73" s="3">
        <v>22.9</v>
      </c>
      <c r="F73" s="4">
        <v>49</v>
      </c>
      <c r="G73" s="4">
        <v>1020</v>
      </c>
      <c r="H73" t="s">
        <v>5</v>
      </c>
      <c r="I73" s="3">
        <v>18.2</v>
      </c>
    </row>
    <row r="74" spans="1:9" x14ac:dyDescent="0.25">
      <c r="A74">
        <v>73</v>
      </c>
      <c r="B74" s="2">
        <v>45830.805555555547</v>
      </c>
      <c r="C74" t="s">
        <v>4</v>
      </c>
      <c r="D74" s="3">
        <v>24.8</v>
      </c>
      <c r="E74" s="3">
        <v>24.5</v>
      </c>
      <c r="F74" s="4">
        <v>57</v>
      </c>
      <c r="G74" s="4">
        <v>1010</v>
      </c>
      <c r="H74" t="s">
        <v>9</v>
      </c>
      <c r="I74" s="3">
        <v>15.6</v>
      </c>
    </row>
    <row r="75" spans="1:9" x14ac:dyDescent="0.25">
      <c r="A75">
        <v>74</v>
      </c>
      <c r="B75" s="2">
        <v>45831.784722222219</v>
      </c>
      <c r="C75" t="s">
        <v>4</v>
      </c>
      <c r="D75" s="3">
        <v>26.2</v>
      </c>
      <c r="E75" s="3">
        <v>26</v>
      </c>
      <c r="F75" s="4">
        <v>45</v>
      </c>
      <c r="G75" s="4">
        <v>1024</v>
      </c>
      <c r="H75" t="s">
        <v>5</v>
      </c>
      <c r="I75" s="3">
        <v>22.3</v>
      </c>
    </row>
    <row r="76" spans="1:9" x14ac:dyDescent="0.25">
      <c r="A76">
        <v>75</v>
      </c>
      <c r="B76" s="2">
        <v>45832.652777777781</v>
      </c>
      <c r="C76" t="s">
        <v>4</v>
      </c>
      <c r="D76" s="3">
        <v>22.4</v>
      </c>
      <c r="E76" s="3">
        <v>22.9</v>
      </c>
      <c r="F76" s="4">
        <v>39</v>
      </c>
      <c r="G76" s="4">
        <v>1014</v>
      </c>
      <c r="H76" t="s">
        <v>5</v>
      </c>
      <c r="I76" s="3">
        <v>20.9</v>
      </c>
    </row>
    <row r="77" spans="1:9" x14ac:dyDescent="0.25">
      <c r="A77">
        <v>76</v>
      </c>
      <c r="B77" s="2">
        <v>45833.423611111109</v>
      </c>
      <c r="C77" t="s">
        <v>4</v>
      </c>
      <c r="D77" s="3">
        <v>19.600000000000001</v>
      </c>
      <c r="E77" s="3">
        <v>19.8</v>
      </c>
      <c r="F77" s="4">
        <v>78</v>
      </c>
      <c r="G77" s="4">
        <v>1016</v>
      </c>
      <c r="H77" t="s">
        <v>5</v>
      </c>
      <c r="I77" s="3">
        <v>13.9</v>
      </c>
    </row>
    <row r="78" spans="1:9" x14ac:dyDescent="0.25">
      <c r="A78">
        <v>77</v>
      </c>
      <c r="B78" s="2">
        <v>45834.826388888891</v>
      </c>
      <c r="C78" t="s">
        <v>4</v>
      </c>
      <c r="D78" s="3">
        <v>24.5</v>
      </c>
      <c r="E78" s="3">
        <v>25.2</v>
      </c>
      <c r="F78" s="4">
        <v>65</v>
      </c>
      <c r="G78" s="4">
        <v>1015</v>
      </c>
      <c r="H78" t="s">
        <v>11</v>
      </c>
      <c r="I78" s="3">
        <v>14.5</v>
      </c>
    </row>
    <row r="79" spans="1:9" x14ac:dyDescent="0.25">
      <c r="A79">
        <v>78</v>
      </c>
      <c r="B79" s="2">
        <v>45835.784722222219</v>
      </c>
      <c r="C79" t="s">
        <v>4</v>
      </c>
      <c r="D79" s="3">
        <v>21.2</v>
      </c>
      <c r="E79" s="3">
        <v>21.8</v>
      </c>
      <c r="F79" s="4">
        <v>92</v>
      </c>
      <c r="G79" s="4">
        <v>1009</v>
      </c>
      <c r="H79" t="s">
        <v>13</v>
      </c>
      <c r="I79" s="3">
        <v>26.1</v>
      </c>
    </row>
    <row r="80" spans="1:9" x14ac:dyDescent="0.25">
      <c r="A80">
        <v>79</v>
      </c>
      <c r="B80" s="2">
        <v>45836.486111111109</v>
      </c>
      <c r="C80" t="s">
        <v>4</v>
      </c>
      <c r="D80" s="3">
        <v>18.600000000000001</v>
      </c>
      <c r="E80" s="3">
        <v>18.5</v>
      </c>
      <c r="F80" s="4">
        <v>63</v>
      </c>
      <c r="G80" s="4">
        <v>1002</v>
      </c>
      <c r="H80" t="s">
        <v>6</v>
      </c>
      <c r="I80" s="3">
        <v>21.2</v>
      </c>
    </row>
    <row r="81" spans="1:9" x14ac:dyDescent="0.25">
      <c r="A81">
        <v>80</v>
      </c>
      <c r="B81" s="2">
        <v>45837.645833333343</v>
      </c>
      <c r="C81" t="s">
        <v>4</v>
      </c>
      <c r="D81" s="3">
        <v>21.4</v>
      </c>
      <c r="E81" s="3">
        <v>20.5</v>
      </c>
      <c r="F81" s="4">
        <v>59</v>
      </c>
      <c r="G81" s="4">
        <v>1014</v>
      </c>
      <c r="H81" t="s">
        <v>5</v>
      </c>
      <c r="I81" s="3">
        <v>16.399999999999999</v>
      </c>
    </row>
    <row r="82" spans="1:9" x14ac:dyDescent="0.25">
      <c r="A82">
        <v>81</v>
      </c>
      <c r="B82" s="2">
        <v>45838.263888888891</v>
      </c>
      <c r="C82" t="s">
        <v>4</v>
      </c>
      <c r="D82" s="3">
        <v>19.8</v>
      </c>
      <c r="E82" s="3">
        <v>20.399999999999999</v>
      </c>
      <c r="F82" s="4">
        <v>79</v>
      </c>
      <c r="G82" s="4">
        <v>1005</v>
      </c>
      <c r="H82" t="s">
        <v>8</v>
      </c>
      <c r="I82" s="3">
        <v>18.2</v>
      </c>
    </row>
    <row r="83" spans="1:9" x14ac:dyDescent="0.25">
      <c r="A83">
        <v>82</v>
      </c>
      <c r="B83" s="2">
        <v>45839.631944444453</v>
      </c>
      <c r="C83" t="s">
        <v>4</v>
      </c>
      <c r="D83" s="3">
        <v>19.399999999999999</v>
      </c>
      <c r="E83" s="3">
        <v>18.899999999999999</v>
      </c>
      <c r="F83" s="4">
        <v>52</v>
      </c>
      <c r="G83" s="4">
        <v>1015</v>
      </c>
      <c r="H83" t="s">
        <v>9</v>
      </c>
      <c r="I83" s="3">
        <v>15.4</v>
      </c>
    </row>
    <row r="84" spans="1:9" x14ac:dyDescent="0.25">
      <c r="A84">
        <v>83</v>
      </c>
      <c r="B84" s="2">
        <v>45840.819444444453</v>
      </c>
      <c r="C84" t="s">
        <v>4</v>
      </c>
      <c r="D84" s="3">
        <v>25</v>
      </c>
      <c r="E84" s="3">
        <v>26</v>
      </c>
      <c r="F84" s="4">
        <v>59</v>
      </c>
      <c r="G84" s="4">
        <v>1014</v>
      </c>
      <c r="H84" t="s">
        <v>7</v>
      </c>
      <c r="I84" s="3">
        <v>12.4</v>
      </c>
    </row>
    <row r="85" spans="1:9" x14ac:dyDescent="0.25">
      <c r="A85">
        <v>84</v>
      </c>
      <c r="B85" s="2">
        <v>45841.6875</v>
      </c>
      <c r="C85" t="s">
        <v>4</v>
      </c>
      <c r="D85" s="3">
        <v>22.2</v>
      </c>
      <c r="E85" s="3">
        <v>22.2</v>
      </c>
      <c r="F85" s="4">
        <v>54</v>
      </c>
      <c r="G85" s="4">
        <v>1013</v>
      </c>
      <c r="H85" t="s">
        <v>7</v>
      </c>
      <c r="I85" s="3">
        <v>12.5</v>
      </c>
    </row>
    <row r="86" spans="1:9" x14ac:dyDescent="0.25">
      <c r="A86">
        <v>85</v>
      </c>
      <c r="B86" s="2">
        <v>45842.854166666657</v>
      </c>
      <c r="C86" t="s">
        <v>4</v>
      </c>
      <c r="D86" s="3">
        <v>22.2</v>
      </c>
      <c r="E86" s="3">
        <v>21.1</v>
      </c>
      <c r="F86" s="4">
        <v>87</v>
      </c>
      <c r="G86" s="4">
        <v>1012</v>
      </c>
      <c r="H86" t="s">
        <v>8</v>
      </c>
      <c r="I86" s="3">
        <v>21.5</v>
      </c>
    </row>
    <row r="87" spans="1:9" x14ac:dyDescent="0.25">
      <c r="A87">
        <v>86</v>
      </c>
      <c r="B87" s="2">
        <v>45843.527777777781</v>
      </c>
      <c r="C87" t="s">
        <v>4</v>
      </c>
      <c r="D87" s="3">
        <v>22.1</v>
      </c>
      <c r="E87" s="3">
        <v>22.2</v>
      </c>
      <c r="F87" s="4">
        <v>84</v>
      </c>
      <c r="G87" s="4">
        <v>1005</v>
      </c>
      <c r="H87" t="s">
        <v>6</v>
      </c>
      <c r="I87" s="3">
        <v>35.299999999999997</v>
      </c>
    </row>
    <row r="88" spans="1:9" x14ac:dyDescent="0.25">
      <c r="A88">
        <v>87</v>
      </c>
      <c r="B88" s="2">
        <v>45844.909722222219</v>
      </c>
      <c r="C88" t="s">
        <v>4</v>
      </c>
      <c r="D88" s="3">
        <v>23.7</v>
      </c>
      <c r="E88" s="3">
        <v>24</v>
      </c>
      <c r="F88" s="4">
        <v>66</v>
      </c>
      <c r="G88" s="4">
        <v>1021</v>
      </c>
      <c r="H88" t="s">
        <v>7</v>
      </c>
      <c r="I88" s="3">
        <v>24.8</v>
      </c>
    </row>
    <row r="89" spans="1:9" x14ac:dyDescent="0.25">
      <c r="A89">
        <v>88</v>
      </c>
      <c r="B89" s="2">
        <v>45845.493055555547</v>
      </c>
      <c r="C89" t="s">
        <v>4</v>
      </c>
      <c r="D89" s="3">
        <v>19</v>
      </c>
      <c r="E89" s="3">
        <v>19.399999999999999</v>
      </c>
      <c r="F89" s="4">
        <v>57</v>
      </c>
      <c r="G89" s="4">
        <v>1015</v>
      </c>
      <c r="H89" t="s">
        <v>11</v>
      </c>
      <c r="I89" s="3">
        <v>12.9</v>
      </c>
    </row>
    <row r="90" spans="1:9" x14ac:dyDescent="0.25">
      <c r="A90">
        <v>89</v>
      </c>
      <c r="B90" s="2">
        <v>45846.347222222219</v>
      </c>
      <c r="C90" t="s">
        <v>4</v>
      </c>
      <c r="D90" s="3">
        <v>21</v>
      </c>
      <c r="E90" s="3">
        <v>20.399999999999999</v>
      </c>
      <c r="F90" s="4">
        <v>64</v>
      </c>
      <c r="G90" s="4">
        <v>1014</v>
      </c>
      <c r="H90" t="s">
        <v>5</v>
      </c>
      <c r="I90" s="3">
        <v>12.2</v>
      </c>
    </row>
    <row r="91" spans="1:9" x14ac:dyDescent="0.25">
      <c r="A91">
        <v>90</v>
      </c>
      <c r="B91" s="2">
        <v>45847.666666666657</v>
      </c>
      <c r="C91" t="s">
        <v>4</v>
      </c>
      <c r="D91" s="3">
        <v>23.7</v>
      </c>
      <c r="E91" s="3">
        <v>24.1</v>
      </c>
      <c r="F91" s="4">
        <v>45</v>
      </c>
      <c r="G91" s="4">
        <v>1008</v>
      </c>
      <c r="H91" t="s">
        <v>5</v>
      </c>
      <c r="I91" s="3">
        <v>18</v>
      </c>
    </row>
    <row r="92" spans="1:9" x14ac:dyDescent="0.25">
      <c r="A92">
        <v>91</v>
      </c>
      <c r="B92" s="2">
        <v>45848.576388888891</v>
      </c>
      <c r="C92" t="s">
        <v>4</v>
      </c>
      <c r="D92" s="3">
        <v>24.1</v>
      </c>
      <c r="E92" s="3">
        <v>23.3</v>
      </c>
      <c r="F92" s="4">
        <v>54</v>
      </c>
      <c r="G92" s="4">
        <v>1007</v>
      </c>
      <c r="H92" t="s">
        <v>5</v>
      </c>
      <c r="I92" s="3">
        <v>17.600000000000001</v>
      </c>
    </row>
    <row r="93" spans="1:9" x14ac:dyDescent="0.25">
      <c r="A93">
        <v>92</v>
      </c>
      <c r="B93" s="2">
        <v>45849.631944444453</v>
      </c>
      <c r="C93" t="s">
        <v>4</v>
      </c>
      <c r="D93" s="3">
        <v>22.9</v>
      </c>
      <c r="E93" s="3">
        <v>23.4</v>
      </c>
      <c r="F93" s="4">
        <v>76</v>
      </c>
      <c r="G93" s="4">
        <v>1009</v>
      </c>
      <c r="H93" t="s">
        <v>11</v>
      </c>
      <c r="I93" s="3">
        <v>15.2</v>
      </c>
    </row>
    <row r="94" spans="1:9" x14ac:dyDescent="0.25">
      <c r="A94">
        <v>93</v>
      </c>
      <c r="B94" s="2">
        <v>45850.506944444453</v>
      </c>
      <c r="C94" t="s">
        <v>4</v>
      </c>
      <c r="D94" s="3">
        <v>20</v>
      </c>
      <c r="E94" s="3">
        <v>19</v>
      </c>
      <c r="F94" s="4">
        <v>53</v>
      </c>
      <c r="G94" s="4">
        <v>1004</v>
      </c>
      <c r="H94" t="s">
        <v>6</v>
      </c>
      <c r="I94" s="3">
        <v>18.899999999999999</v>
      </c>
    </row>
    <row r="95" spans="1:9" x14ac:dyDescent="0.25">
      <c r="A95">
        <v>94</v>
      </c>
      <c r="B95" s="2">
        <v>45851.25</v>
      </c>
      <c r="C95" t="s">
        <v>4</v>
      </c>
      <c r="D95" s="3">
        <v>24.2</v>
      </c>
      <c r="E95" s="3">
        <v>23.1</v>
      </c>
      <c r="F95" s="4">
        <v>55</v>
      </c>
      <c r="G95" s="4">
        <v>1004</v>
      </c>
      <c r="H95" t="s">
        <v>5</v>
      </c>
      <c r="I95" s="3">
        <v>25</v>
      </c>
    </row>
    <row r="96" spans="1:9" x14ac:dyDescent="0.25">
      <c r="A96">
        <v>95</v>
      </c>
      <c r="B96" s="2">
        <v>45852.5625</v>
      </c>
      <c r="C96" t="s">
        <v>4</v>
      </c>
      <c r="D96" s="3">
        <v>22.4</v>
      </c>
      <c r="E96" s="3">
        <v>22.1</v>
      </c>
      <c r="F96" s="4">
        <v>63</v>
      </c>
      <c r="G96" s="4">
        <v>1005</v>
      </c>
      <c r="H96" t="s">
        <v>10</v>
      </c>
      <c r="I96" s="3">
        <v>24</v>
      </c>
    </row>
    <row r="97" spans="1:9" x14ac:dyDescent="0.25">
      <c r="A97">
        <v>96</v>
      </c>
      <c r="B97" s="2">
        <v>45853.354166666657</v>
      </c>
      <c r="C97" t="s">
        <v>4</v>
      </c>
      <c r="D97" s="3">
        <v>19.600000000000001</v>
      </c>
      <c r="E97" s="3">
        <v>20.3</v>
      </c>
      <c r="F97" s="4">
        <v>71</v>
      </c>
      <c r="G97" s="4">
        <v>1017</v>
      </c>
      <c r="H97" t="s">
        <v>5</v>
      </c>
      <c r="I97" s="3">
        <v>15</v>
      </c>
    </row>
    <row r="98" spans="1:9" x14ac:dyDescent="0.25">
      <c r="A98">
        <v>97</v>
      </c>
      <c r="B98" s="2">
        <v>45854.826388888891</v>
      </c>
      <c r="C98" t="s">
        <v>4</v>
      </c>
      <c r="D98" s="3">
        <v>24.2</v>
      </c>
      <c r="E98" s="3">
        <v>25.4</v>
      </c>
      <c r="F98" s="4">
        <v>54</v>
      </c>
      <c r="G98" s="4">
        <v>1012</v>
      </c>
      <c r="H98" t="s">
        <v>5</v>
      </c>
      <c r="I98" s="3">
        <v>16.5</v>
      </c>
    </row>
    <row r="99" spans="1:9" x14ac:dyDescent="0.25">
      <c r="A99">
        <v>98</v>
      </c>
      <c r="B99" s="2">
        <v>45855.534722222219</v>
      </c>
      <c r="C99" t="s">
        <v>4</v>
      </c>
      <c r="D99" s="3">
        <v>21.1</v>
      </c>
      <c r="E99" s="3">
        <v>21.7</v>
      </c>
      <c r="F99" s="4">
        <v>56</v>
      </c>
      <c r="G99" s="4">
        <v>1010</v>
      </c>
      <c r="H99" t="s">
        <v>7</v>
      </c>
      <c r="I99" s="3">
        <v>14.8</v>
      </c>
    </row>
    <row r="100" spans="1:9" x14ac:dyDescent="0.25">
      <c r="A100">
        <v>99</v>
      </c>
      <c r="B100" s="2">
        <v>45856.770833333343</v>
      </c>
      <c r="C100" t="s">
        <v>4</v>
      </c>
      <c r="D100" s="3">
        <v>23.8</v>
      </c>
      <c r="E100" s="3">
        <v>22.9</v>
      </c>
      <c r="F100" s="4">
        <v>47</v>
      </c>
      <c r="G100" s="4">
        <v>1016</v>
      </c>
      <c r="H100" t="s">
        <v>5</v>
      </c>
      <c r="I100" s="3">
        <v>17.399999999999999</v>
      </c>
    </row>
    <row r="101" spans="1:9" x14ac:dyDescent="0.25">
      <c r="A101">
        <v>100</v>
      </c>
      <c r="B101" s="2">
        <v>45857.756944444453</v>
      </c>
      <c r="C101" t="s">
        <v>4</v>
      </c>
      <c r="D101" s="3">
        <v>28.2</v>
      </c>
      <c r="E101" s="3">
        <v>29.4</v>
      </c>
      <c r="F101" s="4">
        <v>55</v>
      </c>
      <c r="G101" s="4">
        <v>1013</v>
      </c>
      <c r="H101" t="s">
        <v>5</v>
      </c>
      <c r="I101" s="3">
        <v>14.8</v>
      </c>
    </row>
    <row r="102" spans="1:9" x14ac:dyDescent="0.25">
      <c r="A102">
        <v>101</v>
      </c>
      <c r="B102" s="2">
        <v>45858.451388888891</v>
      </c>
      <c r="C102" t="s">
        <v>4</v>
      </c>
      <c r="D102" s="3">
        <v>23.1</v>
      </c>
      <c r="E102" s="3">
        <v>22.5</v>
      </c>
      <c r="F102" s="4">
        <v>54</v>
      </c>
      <c r="G102" s="4">
        <v>1019</v>
      </c>
      <c r="H102" t="s">
        <v>5</v>
      </c>
      <c r="I102" s="3">
        <v>18</v>
      </c>
    </row>
    <row r="103" spans="1:9" x14ac:dyDescent="0.25">
      <c r="A103">
        <v>102</v>
      </c>
      <c r="B103" s="2">
        <v>45860.25</v>
      </c>
      <c r="C103" t="s">
        <v>4</v>
      </c>
      <c r="D103" s="3">
        <v>24</v>
      </c>
      <c r="E103" s="3">
        <v>25</v>
      </c>
      <c r="F103" s="4">
        <v>45</v>
      </c>
      <c r="G103" s="4">
        <v>1012</v>
      </c>
      <c r="H103" t="s">
        <v>9</v>
      </c>
      <c r="I103" s="3">
        <v>18</v>
      </c>
    </row>
    <row r="104" spans="1:9" x14ac:dyDescent="0.25">
      <c r="A104">
        <v>103</v>
      </c>
      <c r="B104" s="2">
        <v>45861.798611111109</v>
      </c>
      <c r="C104" t="s">
        <v>4</v>
      </c>
      <c r="D104" s="3">
        <v>22.9</v>
      </c>
      <c r="E104" s="3">
        <v>22.9</v>
      </c>
      <c r="F104" s="4">
        <v>56</v>
      </c>
      <c r="G104" s="4">
        <v>1017</v>
      </c>
      <c r="H104" t="s">
        <v>5</v>
      </c>
      <c r="I104" s="3">
        <v>14.5</v>
      </c>
    </row>
    <row r="105" spans="1:9" x14ac:dyDescent="0.25">
      <c r="A105">
        <v>104</v>
      </c>
      <c r="B105" s="2">
        <v>45862.493055555547</v>
      </c>
      <c r="C105" t="s">
        <v>4</v>
      </c>
      <c r="D105" s="3">
        <v>22.6</v>
      </c>
      <c r="E105" s="3">
        <v>22.7</v>
      </c>
      <c r="F105" s="4">
        <v>53</v>
      </c>
      <c r="G105" s="4">
        <v>1011</v>
      </c>
      <c r="H105" t="s">
        <v>5</v>
      </c>
      <c r="I105" s="3">
        <v>18.899999999999999</v>
      </c>
    </row>
    <row r="106" spans="1:9" x14ac:dyDescent="0.25">
      <c r="A106">
        <v>105</v>
      </c>
      <c r="B106" s="2">
        <v>45863.833333333343</v>
      </c>
      <c r="C106" t="s">
        <v>4</v>
      </c>
      <c r="D106" s="3">
        <v>25.3</v>
      </c>
      <c r="E106" s="3">
        <v>24.6</v>
      </c>
      <c r="F106" s="4">
        <v>70</v>
      </c>
      <c r="G106" s="4">
        <v>1007</v>
      </c>
      <c r="H106" t="s">
        <v>11</v>
      </c>
      <c r="I106" s="3">
        <v>16.399999999999999</v>
      </c>
    </row>
    <row r="107" spans="1:9" x14ac:dyDescent="0.25">
      <c r="A107">
        <v>106</v>
      </c>
      <c r="B107" s="2">
        <v>45864.541666666657</v>
      </c>
      <c r="C107" t="s">
        <v>4</v>
      </c>
      <c r="D107" s="3">
        <v>21.7</v>
      </c>
      <c r="E107" s="3">
        <v>22.1</v>
      </c>
      <c r="F107" s="4">
        <v>64</v>
      </c>
      <c r="G107" s="4">
        <v>1008</v>
      </c>
      <c r="H107" t="s">
        <v>6</v>
      </c>
      <c r="I107" s="3">
        <v>26.9</v>
      </c>
    </row>
    <row r="108" spans="1:9" x14ac:dyDescent="0.25">
      <c r="A108">
        <v>107</v>
      </c>
      <c r="B108" s="2">
        <v>45865.840277777781</v>
      </c>
      <c r="C108" t="s">
        <v>4</v>
      </c>
      <c r="D108" s="3">
        <v>28.7</v>
      </c>
      <c r="E108" s="3">
        <v>28.9</v>
      </c>
      <c r="F108" s="4">
        <v>41</v>
      </c>
      <c r="G108" s="4">
        <v>1011</v>
      </c>
      <c r="H108" t="s">
        <v>9</v>
      </c>
      <c r="I108" s="3">
        <v>12.7</v>
      </c>
    </row>
    <row r="109" spans="1:9" x14ac:dyDescent="0.25">
      <c r="A109">
        <v>108</v>
      </c>
      <c r="B109" s="2">
        <v>45866.868055555547</v>
      </c>
      <c r="C109" t="s">
        <v>4</v>
      </c>
      <c r="D109" s="3">
        <v>29</v>
      </c>
      <c r="E109" s="3">
        <v>29.5</v>
      </c>
      <c r="F109" s="4">
        <v>50</v>
      </c>
      <c r="G109" s="4">
        <v>1007</v>
      </c>
      <c r="H109" t="s">
        <v>12</v>
      </c>
      <c r="I109" s="3">
        <v>17.399999999999999</v>
      </c>
    </row>
    <row r="110" spans="1:9" x14ac:dyDescent="0.25">
      <c r="A110">
        <v>109</v>
      </c>
      <c r="B110" s="2">
        <v>45868.6875</v>
      </c>
      <c r="C110" t="s">
        <v>4</v>
      </c>
      <c r="D110" s="3">
        <v>23.3</v>
      </c>
      <c r="E110" s="3">
        <v>23.7</v>
      </c>
      <c r="F110" s="4">
        <v>64</v>
      </c>
      <c r="G110" s="4">
        <v>1016</v>
      </c>
      <c r="H110" t="s">
        <v>5</v>
      </c>
      <c r="I110" s="3">
        <v>15.9</v>
      </c>
    </row>
    <row r="111" spans="1:9" x14ac:dyDescent="0.25">
      <c r="A111">
        <v>110</v>
      </c>
      <c r="B111" s="2">
        <v>45869.819444444453</v>
      </c>
      <c r="C111" t="s">
        <v>4</v>
      </c>
      <c r="D111" s="3">
        <v>28.6</v>
      </c>
      <c r="E111" s="3">
        <v>29.2</v>
      </c>
      <c r="F111" s="4">
        <v>49</v>
      </c>
      <c r="G111" s="4">
        <v>1014</v>
      </c>
      <c r="H111" t="s">
        <v>7</v>
      </c>
      <c r="I111" s="3">
        <v>15.1</v>
      </c>
    </row>
    <row r="112" spans="1:9" x14ac:dyDescent="0.25">
      <c r="A112">
        <v>111</v>
      </c>
      <c r="B112" s="2">
        <v>45870.840277777781</v>
      </c>
      <c r="C112" t="s">
        <v>4</v>
      </c>
      <c r="D112" s="3">
        <v>27</v>
      </c>
      <c r="E112" s="3">
        <v>27.6</v>
      </c>
      <c r="F112" s="4">
        <v>38</v>
      </c>
      <c r="G112" s="4">
        <v>1016</v>
      </c>
      <c r="H112" t="s">
        <v>5</v>
      </c>
      <c r="I112" s="3">
        <v>12.1</v>
      </c>
    </row>
    <row r="113" spans="1:9" x14ac:dyDescent="0.25">
      <c r="A113">
        <v>112</v>
      </c>
      <c r="B113" s="2">
        <v>45871.895833333343</v>
      </c>
      <c r="C113" t="s">
        <v>4</v>
      </c>
      <c r="D113" s="3">
        <v>26</v>
      </c>
      <c r="E113" s="3">
        <v>26.5</v>
      </c>
      <c r="F113" s="4">
        <v>63</v>
      </c>
      <c r="G113" s="4">
        <v>1006</v>
      </c>
      <c r="H113" t="s">
        <v>12</v>
      </c>
      <c r="I113" s="3">
        <v>23.5</v>
      </c>
    </row>
    <row r="114" spans="1:9" x14ac:dyDescent="0.25">
      <c r="A114">
        <v>113</v>
      </c>
      <c r="B114" s="2">
        <v>45872.590277777781</v>
      </c>
      <c r="C114" t="s">
        <v>4</v>
      </c>
      <c r="D114" s="3">
        <v>24.7</v>
      </c>
      <c r="E114" s="3">
        <v>23.8</v>
      </c>
      <c r="F114" s="4">
        <v>62</v>
      </c>
      <c r="G114" s="4">
        <v>1012</v>
      </c>
      <c r="H114" t="s">
        <v>9</v>
      </c>
      <c r="I114" s="3">
        <v>15.6</v>
      </c>
    </row>
    <row r="115" spans="1:9" x14ac:dyDescent="0.25">
      <c r="A115">
        <v>114</v>
      </c>
      <c r="B115" s="2">
        <v>45873.611111111109</v>
      </c>
      <c r="C115" t="s">
        <v>4</v>
      </c>
      <c r="D115" s="3">
        <v>21</v>
      </c>
      <c r="E115" s="3">
        <v>20.100000000000001</v>
      </c>
      <c r="F115" s="4">
        <v>69</v>
      </c>
      <c r="G115" s="4">
        <v>1010</v>
      </c>
      <c r="H115" t="s">
        <v>10</v>
      </c>
      <c r="I115" s="3">
        <v>14.8</v>
      </c>
    </row>
    <row r="116" spans="1:9" x14ac:dyDescent="0.25">
      <c r="A116">
        <v>115</v>
      </c>
      <c r="B116" s="2">
        <v>45874.909722222219</v>
      </c>
      <c r="C116" t="s">
        <v>4</v>
      </c>
      <c r="D116" s="3">
        <v>25.5</v>
      </c>
      <c r="E116" s="3">
        <v>24.7</v>
      </c>
      <c r="F116" s="4">
        <v>55</v>
      </c>
      <c r="G116" s="4">
        <v>1013</v>
      </c>
      <c r="H116" t="s">
        <v>5</v>
      </c>
      <c r="I116" s="3">
        <v>12.9</v>
      </c>
    </row>
    <row r="117" spans="1:9" x14ac:dyDescent="0.25">
      <c r="A117">
        <v>116</v>
      </c>
      <c r="B117" s="2">
        <v>45875.555555555547</v>
      </c>
      <c r="C117" t="s">
        <v>4</v>
      </c>
      <c r="D117" s="3">
        <v>22.2</v>
      </c>
      <c r="E117" s="3">
        <v>21.6</v>
      </c>
      <c r="F117" s="4">
        <v>66</v>
      </c>
      <c r="G117" s="4">
        <v>1006</v>
      </c>
      <c r="H117" t="s">
        <v>12</v>
      </c>
      <c r="I117" s="3">
        <v>19.399999999999999</v>
      </c>
    </row>
    <row r="118" spans="1:9" x14ac:dyDescent="0.25">
      <c r="A118">
        <v>117</v>
      </c>
      <c r="B118" s="2">
        <v>45876.833333333343</v>
      </c>
      <c r="C118" t="s">
        <v>4</v>
      </c>
      <c r="D118" s="3">
        <v>27</v>
      </c>
      <c r="E118" s="3">
        <v>28.1</v>
      </c>
      <c r="F118" s="4">
        <v>64</v>
      </c>
      <c r="G118" s="4">
        <v>1004</v>
      </c>
      <c r="H118" t="s">
        <v>10</v>
      </c>
      <c r="I118" s="3">
        <v>18.2</v>
      </c>
    </row>
    <row r="119" spans="1:9" x14ac:dyDescent="0.25">
      <c r="A119">
        <v>118</v>
      </c>
      <c r="B119" s="2">
        <v>45877.631944444453</v>
      </c>
      <c r="C119" t="s">
        <v>4</v>
      </c>
      <c r="D119" s="3">
        <v>24.3</v>
      </c>
      <c r="E119" s="3">
        <v>23.2</v>
      </c>
      <c r="F119" s="4">
        <v>57</v>
      </c>
      <c r="G119" s="4">
        <v>1006</v>
      </c>
      <c r="H119" t="s">
        <v>9</v>
      </c>
      <c r="I119" s="3">
        <v>19.7</v>
      </c>
    </row>
    <row r="120" spans="1:9" x14ac:dyDescent="0.25">
      <c r="A120">
        <v>119</v>
      </c>
      <c r="B120" s="2">
        <v>45878.597222222219</v>
      </c>
      <c r="C120" t="s">
        <v>4</v>
      </c>
      <c r="D120" s="3">
        <v>22.8</v>
      </c>
      <c r="E120" s="3">
        <v>23.1</v>
      </c>
      <c r="F120" s="4">
        <v>51</v>
      </c>
      <c r="G120" s="4">
        <v>1015</v>
      </c>
      <c r="H120" t="s">
        <v>5</v>
      </c>
      <c r="I120" s="3">
        <v>13.7</v>
      </c>
    </row>
    <row r="121" spans="1:9" x14ac:dyDescent="0.25">
      <c r="A121">
        <v>120</v>
      </c>
      <c r="B121" s="2">
        <v>45879.694444444453</v>
      </c>
      <c r="C121" t="s">
        <v>4</v>
      </c>
      <c r="D121" s="3">
        <v>23.8</v>
      </c>
      <c r="E121" s="3">
        <v>24.2</v>
      </c>
      <c r="F121" s="4">
        <v>48</v>
      </c>
      <c r="G121" s="4">
        <v>1013</v>
      </c>
      <c r="H121" t="s">
        <v>5</v>
      </c>
      <c r="I121" s="3">
        <v>19.7</v>
      </c>
    </row>
    <row r="122" spans="1:9" x14ac:dyDescent="0.25">
      <c r="A122">
        <v>121</v>
      </c>
      <c r="B122" s="2">
        <v>45880.340277777781</v>
      </c>
      <c r="C122" t="s">
        <v>4</v>
      </c>
      <c r="D122" s="3">
        <v>20.5</v>
      </c>
      <c r="E122" s="3">
        <v>20.6</v>
      </c>
      <c r="F122" s="4">
        <v>80</v>
      </c>
      <c r="G122" s="4">
        <v>1001</v>
      </c>
      <c r="H122" t="s">
        <v>6</v>
      </c>
      <c r="I122" s="3">
        <v>23.7</v>
      </c>
    </row>
    <row r="123" spans="1:9" x14ac:dyDescent="0.25">
      <c r="A123">
        <v>122</v>
      </c>
      <c r="B123" s="2">
        <v>45881.423611111109</v>
      </c>
      <c r="C123" t="s">
        <v>4</v>
      </c>
      <c r="D123" s="3">
        <v>24.2</v>
      </c>
      <c r="E123" s="3">
        <v>25</v>
      </c>
      <c r="F123" s="4">
        <v>63</v>
      </c>
      <c r="G123" s="4">
        <v>1018</v>
      </c>
      <c r="H123" t="s">
        <v>7</v>
      </c>
      <c r="I123" s="3">
        <v>16.600000000000001</v>
      </c>
    </row>
    <row r="124" spans="1:9" x14ac:dyDescent="0.25">
      <c r="A124">
        <v>123</v>
      </c>
      <c r="B124" s="2">
        <v>45882.784722222219</v>
      </c>
      <c r="C124" t="s">
        <v>4</v>
      </c>
      <c r="D124" s="3">
        <v>22.5</v>
      </c>
      <c r="E124" s="3">
        <v>23.1</v>
      </c>
      <c r="F124" s="4">
        <v>68</v>
      </c>
      <c r="G124" s="4">
        <v>1007</v>
      </c>
      <c r="H124" t="s">
        <v>8</v>
      </c>
      <c r="I124" s="3">
        <v>16.7</v>
      </c>
    </row>
    <row r="125" spans="1:9" x14ac:dyDescent="0.25">
      <c r="A125">
        <v>124</v>
      </c>
      <c r="B125" s="2">
        <v>45883.451388888891</v>
      </c>
      <c r="C125" t="s">
        <v>4</v>
      </c>
      <c r="D125" s="3">
        <v>26.6</v>
      </c>
      <c r="E125" s="3">
        <v>26.5</v>
      </c>
      <c r="F125" s="4">
        <v>59</v>
      </c>
      <c r="G125" s="4">
        <v>1014</v>
      </c>
      <c r="H125" t="s">
        <v>5</v>
      </c>
      <c r="I125" s="3">
        <v>16.100000000000001</v>
      </c>
    </row>
    <row r="126" spans="1:9" x14ac:dyDescent="0.25">
      <c r="A126">
        <v>125</v>
      </c>
      <c r="B126" s="2">
        <v>45884.5</v>
      </c>
      <c r="C126" t="s">
        <v>4</v>
      </c>
      <c r="D126" s="3">
        <v>22</v>
      </c>
      <c r="E126" s="3">
        <v>21</v>
      </c>
      <c r="F126" s="4">
        <v>53</v>
      </c>
      <c r="G126" s="4">
        <v>1005</v>
      </c>
      <c r="H126" t="s">
        <v>9</v>
      </c>
      <c r="I126" s="3">
        <v>22.4</v>
      </c>
    </row>
    <row r="127" spans="1:9" x14ac:dyDescent="0.25">
      <c r="A127">
        <v>126</v>
      </c>
      <c r="B127" s="2">
        <v>45885.8125</v>
      </c>
      <c r="C127" t="s">
        <v>4</v>
      </c>
      <c r="D127" s="3">
        <v>27</v>
      </c>
      <c r="E127" s="3">
        <v>27.8</v>
      </c>
      <c r="F127" s="4">
        <v>59</v>
      </c>
      <c r="G127" s="4">
        <v>1015</v>
      </c>
      <c r="H127" t="s">
        <v>5</v>
      </c>
      <c r="I127" s="3">
        <v>15.5</v>
      </c>
    </row>
    <row r="128" spans="1:9" x14ac:dyDescent="0.25">
      <c r="A128">
        <v>127</v>
      </c>
      <c r="B128" s="2">
        <v>45886.694444444453</v>
      </c>
      <c r="C128" t="s">
        <v>4</v>
      </c>
      <c r="D128" s="3">
        <v>27</v>
      </c>
      <c r="E128" s="3">
        <v>26</v>
      </c>
      <c r="F128" s="4">
        <v>54</v>
      </c>
      <c r="G128" s="4">
        <v>1011</v>
      </c>
      <c r="H128" t="s">
        <v>5</v>
      </c>
      <c r="I128" s="3">
        <v>14.9</v>
      </c>
    </row>
    <row r="129" spans="1:9" x14ac:dyDescent="0.25">
      <c r="A129">
        <v>128</v>
      </c>
      <c r="B129" s="2">
        <v>45887.854166666657</v>
      </c>
      <c r="C129" t="s">
        <v>4</v>
      </c>
      <c r="D129" s="3">
        <v>27.7</v>
      </c>
      <c r="E129" s="3">
        <v>28.8</v>
      </c>
      <c r="F129" s="4">
        <v>59</v>
      </c>
      <c r="G129" s="4">
        <v>1005</v>
      </c>
      <c r="H129" t="s">
        <v>9</v>
      </c>
      <c r="I129" s="3">
        <v>19.2</v>
      </c>
    </row>
    <row r="130" spans="1:9" x14ac:dyDescent="0.25">
      <c r="A130">
        <v>129</v>
      </c>
      <c r="B130" s="2">
        <v>45888.298611111109</v>
      </c>
      <c r="C130" t="s">
        <v>4</v>
      </c>
      <c r="D130" s="3">
        <v>18.899999999999999</v>
      </c>
      <c r="E130" s="3">
        <v>19.399999999999999</v>
      </c>
      <c r="F130" s="4">
        <v>79</v>
      </c>
      <c r="G130" s="4">
        <v>1010</v>
      </c>
      <c r="H130" t="s">
        <v>10</v>
      </c>
      <c r="I130" s="3">
        <v>15.7</v>
      </c>
    </row>
    <row r="131" spans="1:9" x14ac:dyDescent="0.25">
      <c r="A131">
        <v>130</v>
      </c>
      <c r="B131" s="2">
        <v>45889.8125</v>
      </c>
      <c r="C131" t="s">
        <v>4</v>
      </c>
      <c r="D131" s="3">
        <v>27.3</v>
      </c>
      <c r="E131" s="3">
        <v>28.8</v>
      </c>
      <c r="F131" s="4">
        <v>65</v>
      </c>
      <c r="G131" s="4">
        <v>1014</v>
      </c>
      <c r="H131" t="s">
        <v>5</v>
      </c>
      <c r="I131" s="3">
        <v>16.8</v>
      </c>
    </row>
    <row r="132" spans="1:9" x14ac:dyDescent="0.25">
      <c r="A132">
        <v>131</v>
      </c>
      <c r="B132" s="2">
        <v>45890.277777777781</v>
      </c>
      <c r="C132" t="s">
        <v>4</v>
      </c>
      <c r="D132" s="3">
        <v>23.5</v>
      </c>
      <c r="E132" s="3">
        <v>23.8</v>
      </c>
      <c r="F132" s="4">
        <v>64</v>
      </c>
      <c r="G132" s="4">
        <v>1022</v>
      </c>
      <c r="H132" t="s">
        <v>5</v>
      </c>
      <c r="I132" s="3">
        <v>15.9</v>
      </c>
    </row>
    <row r="133" spans="1:9" x14ac:dyDescent="0.25">
      <c r="A133">
        <v>132</v>
      </c>
      <c r="B133" s="2">
        <v>45891.770833333343</v>
      </c>
      <c r="C133" t="s">
        <v>4</v>
      </c>
      <c r="D133" s="3">
        <v>27.2</v>
      </c>
      <c r="E133" s="3">
        <v>26.5</v>
      </c>
      <c r="F133" s="4">
        <v>62</v>
      </c>
      <c r="G133" s="4">
        <v>1005</v>
      </c>
      <c r="H133" t="s">
        <v>7</v>
      </c>
      <c r="I133" s="3">
        <v>29.9</v>
      </c>
    </row>
    <row r="134" spans="1:9" x14ac:dyDescent="0.25">
      <c r="A134">
        <v>133</v>
      </c>
      <c r="B134" s="2">
        <v>45892.263888888891</v>
      </c>
      <c r="C134" t="s">
        <v>4</v>
      </c>
      <c r="D134" s="3">
        <v>22.7</v>
      </c>
      <c r="E134" s="3">
        <v>23.8</v>
      </c>
      <c r="F134" s="4">
        <v>65</v>
      </c>
      <c r="G134" s="4">
        <v>1002</v>
      </c>
      <c r="H134" t="s">
        <v>8</v>
      </c>
      <c r="I134" s="3">
        <v>22.5</v>
      </c>
    </row>
    <row r="135" spans="1:9" x14ac:dyDescent="0.25">
      <c r="A135">
        <v>134</v>
      </c>
      <c r="B135" s="2">
        <v>45893.645833333343</v>
      </c>
      <c r="C135" t="s">
        <v>4</v>
      </c>
      <c r="D135" s="3">
        <v>27.2</v>
      </c>
      <c r="E135" s="3">
        <v>27.9</v>
      </c>
      <c r="F135" s="4">
        <v>59</v>
      </c>
      <c r="G135" s="4">
        <v>1013</v>
      </c>
      <c r="H135" t="s">
        <v>5</v>
      </c>
      <c r="I135" s="3">
        <v>14.4</v>
      </c>
    </row>
    <row r="136" spans="1:9" x14ac:dyDescent="0.25">
      <c r="A136">
        <v>135</v>
      </c>
      <c r="B136" s="2">
        <v>45894.819444444453</v>
      </c>
      <c r="C136" t="s">
        <v>4</v>
      </c>
      <c r="D136" s="3">
        <v>26.7</v>
      </c>
      <c r="E136" s="3">
        <v>25.7</v>
      </c>
      <c r="F136" s="4">
        <v>61</v>
      </c>
      <c r="G136" s="4">
        <v>1011</v>
      </c>
      <c r="H136" t="s">
        <v>9</v>
      </c>
      <c r="I136" s="3">
        <v>15.1</v>
      </c>
    </row>
    <row r="137" spans="1:9" x14ac:dyDescent="0.25">
      <c r="A137">
        <v>136</v>
      </c>
      <c r="B137" s="2">
        <v>45895.5625</v>
      </c>
      <c r="C137" t="s">
        <v>4</v>
      </c>
      <c r="D137" s="3">
        <v>25.4</v>
      </c>
      <c r="E137" s="3">
        <v>24.8</v>
      </c>
      <c r="F137" s="4">
        <v>67</v>
      </c>
      <c r="G137" s="4">
        <v>1007</v>
      </c>
      <c r="H137" t="s">
        <v>12</v>
      </c>
      <c r="I137" s="3">
        <v>19.8</v>
      </c>
    </row>
    <row r="138" spans="1:9" x14ac:dyDescent="0.25">
      <c r="A138">
        <v>137</v>
      </c>
      <c r="B138" s="2">
        <v>45896.555555555547</v>
      </c>
      <c r="C138" t="s">
        <v>4</v>
      </c>
      <c r="D138" s="3">
        <v>21.7</v>
      </c>
      <c r="E138" s="3">
        <v>22</v>
      </c>
      <c r="F138" s="4">
        <v>55</v>
      </c>
      <c r="G138" s="4">
        <v>1016</v>
      </c>
      <c r="H138" t="s">
        <v>7</v>
      </c>
      <c r="I138" s="3">
        <v>15.4</v>
      </c>
    </row>
    <row r="139" spans="1:9" x14ac:dyDescent="0.25">
      <c r="A139">
        <v>138</v>
      </c>
      <c r="B139" s="2">
        <v>45897.8125</v>
      </c>
      <c r="C139" t="s">
        <v>4</v>
      </c>
      <c r="D139" s="3">
        <v>32.1</v>
      </c>
      <c r="E139" s="3">
        <v>33</v>
      </c>
      <c r="F139" s="4">
        <v>72</v>
      </c>
      <c r="G139" s="4">
        <v>1012</v>
      </c>
      <c r="H139" t="s">
        <v>10</v>
      </c>
      <c r="I139" s="3">
        <v>15.8</v>
      </c>
    </row>
    <row r="140" spans="1:9" x14ac:dyDescent="0.25">
      <c r="A140">
        <v>139</v>
      </c>
      <c r="B140" s="2">
        <v>45898.270833333343</v>
      </c>
      <c r="C140" t="s">
        <v>4</v>
      </c>
      <c r="D140" s="3">
        <v>21.7</v>
      </c>
      <c r="E140" s="3">
        <v>22</v>
      </c>
      <c r="F140" s="4">
        <v>71</v>
      </c>
      <c r="G140" s="4">
        <v>1009</v>
      </c>
      <c r="H140" t="s">
        <v>5</v>
      </c>
      <c r="I140" s="3">
        <v>16.2</v>
      </c>
    </row>
    <row r="141" spans="1:9" x14ac:dyDescent="0.25">
      <c r="A141">
        <v>140</v>
      </c>
      <c r="B141" s="2">
        <v>45899.701388888891</v>
      </c>
      <c r="C141" t="s">
        <v>4</v>
      </c>
      <c r="D141" s="3">
        <v>27.8</v>
      </c>
      <c r="E141" s="3">
        <v>27.7</v>
      </c>
      <c r="F141" s="4">
        <v>64</v>
      </c>
      <c r="G141" s="4">
        <v>1015</v>
      </c>
      <c r="H141" t="s">
        <v>5</v>
      </c>
      <c r="I141" s="3">
        <v>17.100000000000001</v>
      </c>
    </row>
    <row r="142" spans="1:9" x14ac:dyDescent="0.25">
      <c r="A142">
        <v>141</v>
      </c>
      <c r="B142" s="2">
        <v>45900.784722222219</v>
      </c>
      <c r="C142" t="s">
        <v>4</v>
      </c>
      <c r="D142" s="3">
        <v>26.1</v>
      </c>
      <c r="E142" s="3">
        <v>28.7</v>
      </c>
      <c r="F142" s="4">
        <v>78</v>
      </c>
      <c r="G142" s="4">
        <v>1003</v>
      </c>
      <c r="H142" t="s">
        <v>6</v>
      </c>
      <c r="I142" s="3">
        <v>21.2</v>
      </c>
    </row>
    <row r="143" spans="1:9" x14ac:dyDescent="0.25">
      <c r="A143">
        <v>142</v>
      </c>
      <c r="B143" s="2">
        <v>45901.479166666657</v>
      </c>
      <c r="C143" t="s">
        <v>4</v>
      </c>
      <c r="D143" s="3">
        <v>25.4</v>
      </c>
      <c r="E143" s="3">
        <v>25.6</v>
      </c>
      <c r="F143" s="4">
        <v>64</v>
      </c>
      <c r="G143" s="4">
        <v>1014</v>
      </c>
      <c r="H143" t="s">
        <v>5</v>
      </c>
      <c r="I143" s="3">
        <v>13.2</v>
      </c>
    </row>
    <row r="144" spans="1:9" x14ac:dyDescent="0.25">
      <c r="A144">
        <v>143</v>
      </c>
      <c r="B144" s="2">
        <v>45902.444444444453</v>
      </c>
      <c r="C144" t="s">
        <v>4</v>
      </c>
      <c r="D144" s="3">
        <v>20.6</v>
      </c>
      <c r="E144" s="3">
        <v>21.1</v>
      </c>
      <c r="F144" s="4">
        <v>56</v>
      </c>
      <c r="G144" s="4">
        <v>1016</v>
      </c>
      <c r="H144" t="s">
        <v>5</v>
      </c>
      <c r="I144" s="3">
        <v>14.9</v>
      </c>
    </row>
    <row r="145" spans="1:9" x14ac:dyDescent="0.25">
      <c r="A145">
        <v>144</v>
      </c>
      <c r="B145" s="2">
        <v>45903.270833333343</v>
      </c>
      <c r="C145" t="s">
        <v>4</v>
      </c>
      <c r="D145" s="3">
        <v>23.2</v>
      </c>
      <c r="E145" s="3">
        <v>22.8</v>
      </c>
      <c r="F145" s="4">
        <v>69</v>
      </c>
      <c r="G145" s="4">
        <v>1006</v>
      </c>
      <c r="H145" t="s">
        <v>10</v>
      </c>
      <c r="I145" s="3">
        <v>19.8</v>
      </c>
    </row>
    <row r="146" spans="1:9" x14ac:dyDescent="0.25">
      <c r="A146">
        <v>145</v>
      </c>
      <c r="B146" s="2">
        <v>45904.25</v>
      </c>
      <c r="C146" t="s">
        <v>4</v>
      </c>
      <c r="D146" s="3">
        <v>22.1</v>
      </c>
      <c r="E146" s="3">
        <v>22.4</v>
      </c>
      <c r="F146" s="4">
        <v>48</v>
      </c>
      <c r="G146" s="4">
        <v>1016</v>
      </c>
      <c r="H146" t="s">
        <v>5</v>
      </c>
      <c r="I146" s="3">
        <v>20.3</v>
      </c>
    </row>
    <row r="147" spans="1:9" x14ac:dyDescent="0.25">
      <c r="A147">
        <v>146</v>
      </c>
      <c r="B147" s="2">
        <v>45905.798611111109</v>
      </c>
      <c r="C147" t="s">
        <v>4</v>
      </c>
      <c r="D147" s="3">
        <v>30.5</v>
      </c>
      <c r="E147" s="3">
        <v>32.1</v>
      </c>
      <c r="F147" s="4">
        <v>66</v>
      </c>
      <c r="G147" s="4">
        <v>1013</v>
      </c>
      <c r="H147" t="s">
        <v>11</v>
      </c>
      <c r="I147" s="3">
        <v>15.4</v>
      </c>
    </row>
    <row r="148" spans="1:9" x14ac:dyDescent="0.25">
      <c r="A148">
        <v>147</v>
      </c>
      <c r="B148" s="2">
        <v>45906.840277777781</v>
      </c>
      <c r="C148" t="s">
        <v>4</v>
      </c>
      <c r="D148" s="3">
        <v>26.1</v>
      </c>
      <c r="E148" s="3">
        <v>26.5</v>
      </c>
      <c r="F148" s="4">
        <v>65</v>
      </c>
      <c r="G148" s="4">
        <v>1020</v>
      </c>
      <c r="H148" t="s">
        <v>5</v>
      </c>
      <c r="I148" s="3">
        <v>13.2</v>
      </c>
    </row>
    <row r="149" spans="1:9" x14ac:dyDescent="0.25">
      <c r="A149">
        <v>148</v>
      </c>
      <c r="B149" s="2">
        <v>45907.305555555547</v>
      </c>
      <c r="C149" t="s">
        <v>4</v>
      </c>
      <c r="D149" s="3">
        <v>24.3</v>
      </c>
      <c r="E149" s="3">
        <v>24</v>
      </c>
      <c r="F149" s="4">
        <v>68</v>
      </c>
      <c r="G149" s="4">
        <v>1012</v>
      </c>
      <c r="H149" t="s">
        <v>7</v>
      </c>
      <c r="I149" s="3">
        <v>17.100000000000001</v>
      </c>
    </row>
    <row r="150" spans="1:9" x14ac:dyDescent="0.25">
      <c r="A150">
        <v>149</v>
      </c>
      <c r="B150" s="2">
        <v>45908.763888888891</v>
      </c>
      <c r="C150" t="s">
        <v>4</v>
      </c>
      <c r="D150" s="3">
        <v>25</v>
      </c>
      <c r="E150" s="3">
        <v>25.4</v>
      </c>
      <c r="F150" s="4">
        <v>56</v>
      </c>
      <c r="G150" s="4">
        <v>1006</v>
      </c>
      <c r="H150" t="s">
        <v>6</v>
      </c>
      <c r="I150" s="3">
        <v>20.5</v>
      </c>
    </row>
    <row r="151" spans="1:9" x14ac:dyDescent="0.25">
      <c r="A151">
        <v>150</v>
      </c>
      <c r="B151" s="2">
        <v>45909.520833333343</v>
      </c>
      <c r="C151" t="s">
        <v>4</v>
      </c>
      <c r="D151" s="3">
        <v>20</v>
      </c>
      <c r="E151" s="3">
        <v>20.100000000000001</v>
      </c>
      <c r="F151" s="4">
        <v>71</v>
      </c>
      <c r="G151" s="4">
        <v>1007</v>
      </c>
      <c r="H151" t="s">
        <v>10</v>
      </c>
      <c r="I151" s="3">
        <v>21.1</v>
      </c>
    </row>
    <row r="152" spans="1:9" x14ac:dyDescent="0.25">
      <c r="A152">
        <v>151</v>
      </c>
      <c r="B152" s="2">
        <v>45910.680555555547</v>
      </c>
      <c r="C152" t="s">
        <v>4</v>
      </c>
      <c r="D152" s="3">
        <v>24.8</v>
      </c>
      <c r="E152" s="3">
        <v>25.9</v>
      </c>
      <c r="F152" s="4">
        <v>69</v>
      </c>
      <c r="G152" s="4">
        <v>1012</v>
      </c>
      <c r="H152" t="s">
        <v>11</v>
      </c>
      <c r="I152" s="3">
        <v>12.4</v>
      </c>
    </row>
    <row r="153" spans="1:9" x14ac:dyDescent="0.25">
      <c r="A153">
        <v>152</v>
      </c>
      <c r="B153" s="2">
        <v>45911.763888888891</v>
      </c>
      <c r="C153" t="s">
        <v>4</v>
      </c>
      <c r="D153" s="3">
        <v>26.5</v>
      </c>
      <c r="E153" s="3">
        <v>26.3</v>
      </c>
      <c r="F153" s="4">
        <v>50</v>
      </c>
      <c r="G153" s="4">
        <v>1011</v>
      </c>
      <c r="H153" t="s">
        <v>9</v>
      </c>
      <c r="I153" s="3">
        <v>15.4</v>
      </c>
    </row>
    <row r="154" spans="1:9" x14ac:dyDescent="0.25">
      <c r="A154">
        <v>153</v>
      </c>
      <c r="B154" s="2">
        <v>45912.805555555547</v>
      </c>
      <c r="C154" t="s">
        <v>4</v>
      </c>
      <c r="D154" s="3">
        <v>27.8</v>
      </c>
      <c r="E154" s="3">
        <v>29.5</v>
      </c>
      <c r="F154" s="4">
        <v>66</v>
      </c>
      <c r="G154" s="4">
        <v>1013</v>
      </c>
      <c r="H154" t="s">
        <v>5</v>
      </c>
      <c r="I154" s="3">
        <v>18.5</v>
      </c>
    </row>
    <row r="155" spans="1:9" x14ac:dyDescent="0.25">
      <c r="A155">
        <v>154</v>
      </c>
      <c r="B155" s="2">
        <v>45913.354166666657</v>
      </c>
      <c r="C155" t="s">
        <v>4</v>
      </c>
      <c r="D155" s="3">
        <v>19.5</v>
      </c>
      <c r="E155" s="3">
        <v>19.2</v>
      </c>
      <c r="F155" s="4">
        <v>70</v>
      </c>
      <c r="G155" s="4">
        <v>1014</v>
      </c>
      <c r="H155" t="s">
        <v>9</v>
      </c>
      <c r="I155" s="3">
        <v>13.9</v>
      </c>
    </row>
    <row r="156" spans="1:9" x14ac:dyDescent="0.25">
      <c r="A156">
        <v>155</v>
      </c>
      <c r="B156" s="2">
        <v>45914.284722222219</v>
      </c>
      <c r="C156" t="s">
        <v>4</v>
      </c>
      <c r="D156" s="3">
        <v>20.2</v>
      </c>
      <c r="E156" s="3">
        <v>21</v>
      </c>
      <c r="F156" s="4">
        <v>70</v>
      </c>
      <c r="G156" s="4">
        <v>999</v>
      </c>
      <c r="H156" t="s">
        <v>10</v>
      </c>
      <c r="I156" s="3">
        <v>28.5</v>
      </c>
    </row>
    <row r="157" spans="1:9" x14ac:dyDescent="0.25">
      <c r="A157">
        <v>156</v>
      </c>
      <c r="B157" s="2">
        <v>45915.305555555547</v>
      </c>
      <c r="C157" t="s">
        <v>4</v>
      </c>
      <c r="D157" s="3">
        <v>21.3</v>
      </c>
      <c r="E157" s="3">
        <v>20.9</v>
      </c>
      <c r="F157" s="4">
        <v>77</v>
      </c>
      <c r="G157" s="4">
        <v>1007</v>
      </c>
      <c r="H157" t="s">
        <v>11</v>
      </c>
      <c r="I157" s="3">
        <v>16.5</v>
      </c>
    </row>
    <row r="158" spans="1:9" x14ac:dyDescent="0.25">
      <c r="A158">
        <v>157</v>
      </c>
      <c r="B158" s="2">
        <v>45917.576388888891</v>
      </c>
      <c r="C158" t="s">
        <v>4</v>
      </c>
      <c r="D158" s="3">
        <v>22.4</v>
      </c>
      <c r="E158" s="3">
        <v>23.4</v>
      </c>
      <c r="F158" s="4">
        <v>70</v>
      </c>
      <c r="G158" s="4">
        <v>1009</v>
      </c>
      <c r="H158" t="s">
        <v>9</v>
      </c>
      <c r="I158" s="3">
        <v>14.2</v>
      </c>
    </row>
    <row r="159" spans="1:9" x14ac:dyDescent="0.25">
      <c r="A159">
        <v>158</v>
      </c>
      <c r="B159" s="2">
        <v>45918.368055555547</v>
      </c>
      <c r="C159" t="s">
        <v>4</v>
      </c>
      <c r="D159" s="3">
        <v>19.3</v>
      </c>
      <c r="E159" s="3">
        <v>18.5</v>
      </c>
      <c r="F159" s="4">
        <v>77</v>
      </c>
      <c r="G159" s="4">
        <v>1014</v>
      </c>
      <c r="H159" t="s">
        <v>11</v>
      </c>
      <c r="I159" s="3">
        <v>19.899999999999999</v>
      </c>
    </row>
    <row r="160" spans="1:9" x14ac:dyDescent="0.25">
      <c r="A160">
        <v>159</v>
      </c>
      <c r="B160" s="2">
        <v>45919.291666666657</v>
      </c>
      <c r="C160" t="s">
        <v>4</v>
      </c>
      <c r="D160" s="3">
        <v>21.7</v>
      </c>
      <c r="E160" s="3">
        <v>22.3</v>
      </c>
      <c r="F160" s="4">
        <v>77</v>
      </c>
      <c r="G160" s="4">
        <v>1012</v>
      </c>
      <c r="H160" t="s">
        <v>11</v>
      </c>
      <c r="I160" s="3">
        <v>19.600000000000001</v>
      </c>
    </row>
    <row r="161" spans="1:9" x14ac:dyDescent="0.25">
      <c r="A161">
        <v>160</v>
      </c>
      <c r="B161" s="2">
        <v>45920.548611111109</v>
      </c>
      <c r="C161" t="s">
        <v>4</v>
      </c>
      <c r="D161" s="3">
        <v>19.899999999999999</v>
      </c>
      <c r="E161" s="3">
        <v>20.2</v>
      </c>
      <c r="F161" s="4">
        <v>61</v>
      </c>
      <c r="G161" s="4">
        <v>1013</v>
      </c>
      <c r="H161" t="s">
        <v>5</v>
      </c>
      <c r="I161" s="3">
        <v>18</v>
      </c>
    </row>
    <row r="162" spans="1:9" x14ac:dyDescent="0.25">
      <c r="A162">
        <v>161</v>
      </c>
      <c r="B162" s="2">
        <v>45921.277777777781</v>
      </c>
      <c r="C162" t="s">
        <v>4</v>
      </c>
      <c r="D162" s="3">
        <v>22.6</v>
      </c>
      <c r="E162" s="3">
        <v>22.2</v>
      </c>
      <c r="F162" s="4">
        <v>59</v>
      </c>
      <c r="G162" s="4">
        <v>1012</v>
      </c>
      <c r="H162" t="s">
        <v>9</v>
      </c>
      <c r="I162" s="3">
        <v>14</v>
      </c>
    </row>
    <row r="163" spans="1:9" x14ac:dyDescent="0.25">
      <c r="A163">
        <v>162</v>
      </c>
      <c r="B163" s="2">
        <v>45922.423611111109</v>
      </c>
      <c r="C163" t="s">
        <v>4</v>
      </c>
      <c r="D163" s="3">
        <v>20.9</v>
      </c>
      <c r="E163" s="3">
        <v>19.8</v>
      </c>
      <c r="F163" s="4">
        <v>70</v>
      </c>
      <c r="G163" s="4">
        <v>1008</v>
      </c>
      <c r="H163" t="s">
        <v>12</v>
      </c>
      <c r="I163" s="3">
        <v>15.5</v>
      </c>
    </row>
    <row r="164" spans="1:9" x14ac:dyDescent="0.25">
      <c r="A164">
        <v>163</v>
      </c>
      <c r="B164" s="2">
        <v>45923.4375</v>
      </c>
      <c r="C164" t="s">
        <v>4</v>
      </c>
      <c r="D164" s="3">
        <v>21.2</v>
      </c>
      <c r="E164" s="3">
        <v>21.4</v>
      </c>
      <c r="F164" s="4">
        <v>59</v>
      </c>
      <c r="G164" s="4">
        <v>1018</v>
      </c>
      <c r="H164" t="s">
        <v>5</v>
      </c>
      <c r="I164" s="3">
        <v>19.3</v>
      </c>
    </row>
    <row r="165" spans="1:9" x14ac:dyDescent="0.25">
      <c r="A165">
        <v>164</v>
      </c>
      <c r="B165" s="2">
        <v>45924.402777777781</v>
      </c>
      <c r="C165" t="s">
        <v>4</v>
      </c>
      <c r="D165" s="3">
        <v>21.5</v>
      </c>
      <c r="E165" s="3">
        <v>21.1</v>
      </c>
      <c r="F165" s="4">
        <v>51</v>
      </c>
      <c r="G165" s="4">
        <v>1004</v>
      </c>
      <c r="H165" t="s">
        <v>7</v>
      </c>
      <c r="I165" s="3">
        <v>21.8</v>
      </c>
    </row>
    <row r="166" spans="1:9" x14ac:dyDescent="0.25">
      <c r="A166">
        <v>165</v>
      </c>
      <c r="B166" s="2">
        <v>45925.520833333343</v>
      </c>
      <c r="C166" t="s">
        <v>4</v>
      </c>
      <c r="D166" s="3">
        <v>20.8</v>
      </c>
      <c r="E166" s="3">
        <v>20.8</v>
      </c>
      <c r="F166" s="4">
        <v>63</v>
      </c>
      <c r="G166" s="4">
        <v>1015</v>
      </c>
      <c r="H166" t="s">
        <v>5</v>
      </c>
      <c r="I166" s="3">
        <v>13.3</v>
      </c>
    </row>
    <row r="167" spans="1:9" x14ac:dyDescent="0.25">
      <c r="A167">
        <v>166</v>
      </c>
      <c r="B167" s="2">
        <v>45926.597222222219</v>
      </c>
      <c r="C167" t="s">
        <v>4</v>
      </c>
      <c r="D167" s="3">
        <v>23.5</v>
      </c>
      <c r="E167" s="3">
        <v>22.7</v>
      </c>
      <c r="F167" s="4">
        <v>72</v>
      </c>
      <c r="G167" s="4">
        <v>1007</v>
      </c>
      <c r="H167" t="s">
        <v>12</v>
      </c>
      <c r="I167" s="3">
        <v>17.8</v>
      </c>
    </row>
    <row r="168" spans="1:9" x14ac:dyDescent="0.25">
      <c r="A168">
        <v>167</v>
      </c>
      <c r="B168" s="2">
        <v>45927.486111111109</v>
      </c>
      <c r="C168" t="s">
        <v>4</v>
      </c>
      <c r="D168" s="3">
        <v>20.100000000000001</v>
      </c>
      <c r="E168" s="3">
        <v>20.7</v>
      </c>
      <c r="F168" s="4">
        <v>72</v>
      </c>
      <c r="G168" s="4">
        <v>1008</v>
      </c>
      <c r="H168" t="s">
        <v>7</v>
      </c>
      <c r="I168" s="3">
        <v>17.3</v>
      </c>
    </row>
    <row r="169" spans="1:9" x14ac:dyDescent="0.25">
      <c r="A169">
        <v>168</v>
      </c>
      <c r="B169" s="2">
        <v>45928.381944444453</v>
      </c>
      <c r="C169" t="s">
        <v>4</v>
      </c>
      <c r="D169" s="3">
        <v>19.899999999999999</v>
      </c>
      <c r="E169" s="3">
        <v>20.399999999999999</v>
      </c>
      <c r="F169" s="4">
        <v>66</v>
      </c>
      <c r="G169" s="4">
        <v>1017</v>
      </c>
      <c r="H169" t="s">
        <v>7</v>
      </c>
      <c r="I169" s="3">
        <v>16.399999999999999</v>
      </c>
    </row>
    <row r="170" spans="1:9" x14ac:dyDescent="0.25">
      <c r="A170">
        <v>169</v>
      </c>
      <c r="B170" s="2">
        <v>45929.625</v>
      </c>
      <c r="C170" t="s">
        <v>4</v>
      </c>
      <c r="D170" s="3">
        <v>21.3</v>
      </c>
      <c r="E170" s="3">
        <v>22.4</v>
      </c>
      <c r="F170" s="4">
        <v>48</v>
      </c>
      <c r="G170" s="4">
        <v>1015</v>
      </c>
      <c r="H170" t="s">
        <v>5</v>
      </c>
      <c r="I170" s="3">
        <v>15.4</v>
      </c>
    </row>
    <row r="171" spans="1:9" x14ac:dyDescent="0.25">
      <c r="A171">
        <v>170</v>
      </c>
      <c r="B171" s="2">
        <v>45930.263888888891</v>
      </c>
      <c r="C171" t="s">
        <v>4</v>
      </c>
      <c r="D171" s="3">
        <v>19.8</v>
      </c>
      <c r="E171" s="3">
        <v>19.5</v>
      </c>
      <c r="F171" s="4">
        <v>61</v>
      </c>
      <c r="G171" s="4">
        <v>1003</v>
      </c>
      <c r="H171" t="s">
        <v>11</v>
      </c>
      <c r="I171" s="3">
        <v>26.5</v>
      </c>
    </row>
    <row r="172" spans="1:9" x14ac:dyDescent="0.25">
      <c r="A172">
        <v>171</v>
      </c>
      <c r="B172" s="2">
        <v>45931.770833333343</v>
      </c>
      <c r="C172" t="s">
        <v>4</v>
      </c>
      <c r="D172" s="3">
        <v>25.6</v>
      </c>
      <c r="E172" s="3">
        <v>26</v>
      </c>
      <c r="F172" s="4">
        <v>52</v>
      </c>
      <c r="G172" s="4">
        <v>1008</v>
      </c>
      <c r="H172" t="s">
        <v>9</v>
      </c>
      <c r="I172" s="3">
        <v>23.2</v>
      </c>
    </row>
    <row r="173" spans="1:9" x14ac:dyDescent="0.25">
      <c r="A173">
        <v>172</v>
      </c>
      <c r="B173" s="2">
        <v>45932.5</v>
      </c>
      <c r="C173" t="s">
        <v>4</v>
      </c>
      <c r="D173" s="3">
        <v>18.7</v>
      </c>
      <c r="E173" s="3">
        <v>18</v>
      </c>
      <c r="F173" s="4">
        <v>66</v>
      </c>
      <c r="G173" s="4">
        <v>1008</v>
      </c>
      <c r="H173" t="s">
        <v>11</v>
      </c>
      <c r="I173" s="3">
        <v>17.3</v>
      </c>
    </row>
    <row r="174" spans="1:9" x14ac:dyDescent="0.25">
      <c r="A174">
        <v>173</v>
      </c>
      <c r="B174" s="2">
        <v>45933.541666666657</v>
      </c>
      <c r="C174" t="s">
        <v>4</v>
      </c>
      <c r="D174" s="3">
        <v>21.3</v>
      </c>
      <c r="E174" s="3">
        <v>22.1</v>
      </c>
      <c r="F174" s="4">
        <v>93</v>
      </c>
      <c r="G174" s="4">
        <v>1004</v>
      </c>
      <c r="H174" t="s">
        <v>6</v>
      </c>
      <c r="I174" s="3">
        <v>17.8</v>
      </c>
    </row>
    <row r="175" spans="1:9" x14ac:dyDescent="0.25">
      <c r="A175">
        <v>174</v>
      </c>
      <c r="B175" s="2">
        <v>45934.659722222219</v>
      </c>
      <c r="C175" t="s">
        <v>4</v>
      </c>
      <c r="D175" s="3">
        <v>22</v>
      </c>
      <c r="E175" s="3">
        <v>22.7</v>
      </c>
      <c r="F175" s="4">
        <v>74</v>
      </c>
      <c r="G175" s="4">
        <v>1006</v>
      </c>
      <c r="H175" t="s">
        <v>6</v>
      </c>
      <c r="I175" s="3">
        <v>29.3</v>
      </c>
    </row>
    <row r="176" spans="1:9" x14ac:dyDescent="0.25">
      <c r="A176">
        <v>175</v>
      </c>
      <c r="B176" s="2">
        <v>45935.402777777781</v>
      </c>
      <c r="C176" t="s">
        <v>4</v>
      </c>
      <c r="D176" s="3">
        <v>19.600000000000001</v>
      </c>
      <c r="E176" s="3">
        <v>18.899999999999999</v>
      </c>
      <c r="F176" s="4">
        <v>84</v>
      </c>
      <c r="G176" s="4">
        <v>1003</v>
      </c>
      <c r="H176" t="s">
        <v>10</v>
      </c>
      <c r="I176" s="3">
        <v>20.7</v>
      </c>
    </row>
    <row r="177" spans="1:9" x14ac:dyDescent="0.25">
      <c r="A177">
        <v>176</v>
      </c>
      <c r="B177" s="2">
        <v>45936.305555555547</v>
      </c>
      <c r="C177" t="s">
        <v>4</v>
      </c>
      <c r="D177" s="3">
        <v>19.2</v>
      </c>
      <c r="E177" s="3">
        <v>19.3</v>
      </c>
      <c r="F177" s="4">
        <v>97</v>
      </c>
      <c r="G177" s="4">
        <v>1012</v>
      </c>
      <c r="H177" t="s">
        <v>10</v>
      </c>
      <c r="I177" s="3">
        <v>22.6</v>
      </c>
    </row>
    <row r="178" spans="1:9" x14ac:dyDescent="0.25">
      <c r="A178">
        <v>177</v>
      </c>
      <c r="B178" s="2">
        <v>45937.826388888891</v>
      </c>
      <c r="C178" t="s">
        <v>4</v>
      </c>
      <c r="D178" s="3">
        <v>27.5</v>
      </c>
      <c r="E178" s="3">
        <v>27.9</v>
      </c>
      <c r="F178" s="4">
        <v>63</v>
      </c>
      <c r="G178" s="4">
        <v>1012</v>
      </c>
      <c r="H178" t="s">
        <v>12</v>
      </c>
      <c r="I178" s="3">
        <v>15.4</v>
      </c>
    </row>
    <row r="179" spans="1:9" x14ac:dyDescent="0.25">
      <c r="A179">
        <v>178</v>
      </c>
      <c r="B179" s="2">
        <v>45938.708333333343</v>
      </c>
      <c r="C179" t="s">
        <v>4</v>
      </c>
      <c r="D179" s="3">
        <v>25.2</v>
      </c>
      <c r="E179" s="3">
        <v>24.7</v>
      </c>
      <c r="F179" s="4">
        <v>55</v>
      </c>
      <c r="G179" s="4">
        <v>1020</v>
      </c>
      <c r="H179" t="s">
        <v>5</v>
      </c>
      <c r="I179" s="3">
        <v>18.7</v>
      </c>
    </row>
    <row r="180" spans="1:9" x14ac:dyDescent="0.25">
      <c r="A180">
        <v>179</v>
      </c>
      <c r="B180" s="2">
        <v>45939.666666666657</v>
      </c>
      <c r="C180" t="s">
        <v>4</v>
      </c>
      <c r="D180" s="3">
        <v>23.2</v>
      </c>
      <c r="E180" s="3">
        <v>22.9</v>
      </c>
      <c r="F180" s="4">
        <v>74</v>
      </c>
      <c r="G180" s="4">
        <v>999</v>
      </c>
      <c r="H180" t="s">
        <v>10</v>
      </c>
      <c r="I180" s="3">
        <v>26.1</v>
      </c>
    </row>
    <row r="181" spans="1:9" x14ac:dyDescent="0.25">
      <c r="A181">
        <v>180</v>
      </c>
      <c r="B181" s="2">
        <v>45940.8125</v>
      </c>
      <c r="C181" t="s">
        <v>4</v>
      </c>
      <c r="D181" s="3">
        <v>23</v>
      </c>
      <c r="E181" s="3">
        <v>22</v>
      </c>
      <c r="F181" s="4">
        <v>73</v>
      </c>
      <c r="G181" s="4">
        <v>1014</v>
      </c>
      <c r="H181" t="s">
        <v>7</v>
      </c>
      <c r="I181" s="3">
        <v>14.4</v>
      </c>
    </row>
    <row r="182" spans="1:9" x14ac:dyDescent="0.25">
      <c r="A182">
        <v>181</v>
      </c>
      <c r="B182" s="2">
        <v>45941.395833333343</v>
      </c>
      <c r="C182" t="s">
        <v>4</v>
      </c>
      <c r="D182" s="3">
        <v>18.7</v>
      </c>
      <c r="E182" s="3">
        <v>19.3</v>
      </c>
      <c r="F182" s="4">
        <v>58</v>
      </c>
      <c r="G182" s="4">
        <v>1015</v>
      </c>
      <c r="H182" t="s">
        <v>5</v>
      </c>
      <c r="I182" s="3">
        <v>14.1</v>
      </c>
    </row>
    <row r="183" spans="1:9" x14ac:dyDescent="0.25">
      <c r="A183">
        <v>182</v>
      </c>
      <c r="B183" s="2">
        <v>45942.743055555547</v>
      </c>
      <c r="C183" t="s">
        <v>4</v>
      </c>
      <c r="D183" s="3">
        <v>21</v>
      </c>
      <c r="E183" s="3">
        <v>20.2</v>
      </c>
      <c r="F183" s="4">
        <v>70</v>
      </c>
      <c r="G183" s="4">
        <v>1013</v>
      </c>
      <c r="H183" t="s">
        <v>11</v>
      </c>
      <c r="I183" s="3">
        <v>13.6</v>
      </c>
    </row>
    <row r="184" spans="1:9" x14ac:dyDescent="0.25">
      <c r="A184">
        <v>183</v>
      </c>
      <c r="B184" s="2">
        <v>45943.868055555547</v>
      </c>
      <c r="C184" t="s">
        <v>4</v>
      </c>
      <c r="D184" s="3">
        <v>25.1</v>
      </c>
      <c r="E184" s="3">
        <v>25</v>
      </c>
      <c r="F184" s="4">
        <v>68</v>
      </c>
      <c r="G184" s="4">
        <v>1003</v>
      </c>
      <c r="H184" t="s">
        <v>8</v>
      </c>
      <c r="I184" s="3">
        <v>21.7</v>
      </c>
    </row>
    <row r="185" spans="1:9" x14ac:dyDescent="0.25">
      <c r="A185">
        <v>184</v>
      </c>
      <c r="B185" s="2">
        <v>45944.4375</v>
      </c>
      <c r="C185" t="s">
        <v>4</v>
      </c>
      <c r="D185" s="3">
        <v>21.8</v>
      </c>
      <c r="E185" s="3">
        <v>21.2</v>
      </c>
      <c r="F185" s="4">
        <v>82</v>
      </c>
      <c r="G185" s="4">
        <v>1011</v>
      </c>
      <c r="H185" t="s">
        <v>9</v>
      </c>
      <c r="I185" s="3">
        <v>14.1</v>
      </c>
    </row>
    <row r="186" spans="1:9" x14ac:dyDescent="0.25">
      <c r="A186">
        <v>185</v>
      </c>
      <c r="B186" s="2">
        <v>45946.493055555547</v>
      </c>
      <c r="C186" t="s">
        <v>4</v>
      </c>
      <c r="D186" s="3">
        <v>20.3</v>
      </c>
      <c r="E186" s="3">
        <v>20.7</v>
      </c>
      <c r="F186" s="4">
        <v>77</v>
      </c>
      <c r="G186" s="4">
        <v>1010</v>
      </c>
      <c r="H186" t="s">
        <v>7</v>
      </c>
      <c r="I186" s="3">
        <v>16.8</v>
      </c>
    </row>
    <row r="187" spans="1:9" x14ac:dyDescent="0.25">
      <c r="A187">
        <v>186</v>
      </c>
      <c r="B187" s="2">
        <v>45947.611111111109</v>
      </c>
      <c r="C187" t="s">
        <v>4</v>
      </c>
      <c r="D187" s="3">
        <v>24.9</v>
      </c>
      <c r="E187" s="3">
        <v>24.6</v>
      </c>
      <c r="F187" s="4">
        <v>73</v>
      </c>
      <c r="G187" s="4">
        <v>1018</v>
      </c>
      <c r="H187" t="s">
        <v>5</v>
      </c>
      <c r="I187" s="3">
        <v>15.5</v>
      </c>
    </row>
    <row r="188" spans="1:9" x14ac:dyDescent="0.25">
      <c r="A188">
        <v>187</v>
      </c>
      <c r="B188" s="2">
        <v>45948.895833333343</v>
      </c>
      <c r="C188" t="s">
        <v>4</v>
      </c>
      <c r="D188" s="3">
        <v>19.3</v>
      </c>
      <c r="E188" s="3">
        <v>20</v>
      </c>
      <c r="F188" s="4">
        <v>83</v>
      </c>
      <c r="G188" s="4">
        <v>1011</v>
      </c>
      <c r="H188" t="s">
        <v>13</v>
      </c>
      <c r="I188" s="3">
        <v>23.5</v>
      </c>
    </row>
    <row r="189" spans="1:9" x14ac:dyDescent="0.25">
      <c r="A189">
        <v>188</v>
      </c>
      <c r="B189" s="2">
        <v>45949.826388888891</v>
      </c>
      <c r="C189" t="s">
        <v>4</v>
      </c>
      <c r="D189" s="3">
        <v>23.1</v>
      </c>
      <c r="E189" s="3">
        <v>23</v>
      </c>
      <c r="F189" s="4">
        <v>57</v>
      </c>
      <c r="G189" s="4">
        <v>1020</v>
      </c>
      <c r="H189" t="s">
        <v>5</v>
      </c>
      <c r="I189" s="3">
        <v>14.9</v>
      </c>
    </row>
    <row r="190" spans="1:9" x14ac:dyDescent="0.25">
      <c r="A190">
        <v>189</v>
      </c>
      <c r="B190" s="2">
        <v>45950.597222222219</v>
      </c>
      <c r="C190" t="s">
        <v>4</v>
      </c>
      <c r="D190" s="3">
        <v>19.8</v>
      </c>
      <c r="E190" s="3">
        <v>18.7</v>
      </c>
      <c r="F190" s="4">
        <v>54</v>
      </c>
      <c r="G190" s="4">
        <v>1014</v>
      </c>
      <c r="H190" t="s">
        <v>5</v>
      </c>
      <c r="I190" s="3">
        <v>14.9</v>
      </c>
    </row>
    <row r="191" spans="1:9" x14ac:dyDescent="0.25">
      <c r="A191">
        <v>190</v>
      </c>
      <c r="B191" s="2">
        <v>45951.541666666657</v>
      </c>
      <c r="C191" t="s">
        <v>4</v>
      </c>
      <c r="D191" s="3">
        <v>20</v>
      </c>
      <c r="E191" s="3">
        <v>20.6</v>
      </c>
      <c r="F191" s="4">
        <v>67</v>
      </c>
      <c r="G191" s="4">
        <v>1018</v>
      </c>
      <c r="H191" t="s">
        <v>5</v>
      </c>
      <c r="I191" s="3">
        <v>15.6</v>
      </c>
    </row>
    <row r="192" spans="1:9" x14ac:dyDescent="0.25">
      <c r="A192">
        <v>191</v>
      </c>
      <c r="B192" s="2">
        <v>45952.604166666657</v>
      </c>
      <c r="C192" t="s">
        <v>4</v>
      </c>
      <c r="D192" s="3">
        <v>20.9</v>
      </c>
      <c r="E192" s="3">
        <v>20</v>
      </c>
      <c r="F192" s="4">
        <v>77</v>
      </c>
      <c r="G192" s="4">
        <v>1014</v>
      </c>
      <c r="H192" t="s">
        <v>7</v>
      </c>
      <c r="I192" s="3">
        <v>22.4</v>
      </c>
    </row>
    <row r="193" spans="1:9" x14ac:dyDescent="0.25">
      <c r="A193">
        <v>192</v>
      </c>
      <c r="B193" s="2">
        <v>45953.5625</v>
      </c>
      <c r="C193" t="s">
        <v>4</v>
      </c>
      <c r="D193" s="3">
        <v>17.2</v>
      </c>
      <c r="E193" s="3">
        <v>18.3</v>
      </c>
      <c r="F193" s="4">
        <v>83</v>
      </c>
      <c r="G193" s="4">
        <v>1012</v>
      </c>
      <c r="H193" t="s">
        <v>12</v>
      </c>
      <c r="I193" s="3">
        <v>23.6</v>
      </c>
    </row>
    <row r="194" spans="1:9" x14ac:dyDescent="0.25">
      <c r="A194">
        <v>193</v>
      </c>
      <c r="B194" s="2">
        <v>45954.763888888891</v>
      </c>
      <c r="C194" t="s">
        <v>4</v>
      </c>
      <c r="D194" s="3">
        <v>20.399999999999999</v>
      </c>
      <c r="E194" s="3">
        <v>20.6</v>
      </c>
      <c r="F194" s="4">
        <v>63</v>
      </c>
      <c r="G194" s="4">
        <v>1017</v>
      </c>
      <c r="H194" t="s">
        <v>5</v>
      </c>
      <c r="I194" s="3">
        <v>16</v>
      </c>
    </row>
    <row r="195" spans="1:9" x14ac:dyDescent="0.25">
      <c r="A195">
        <v>194</v>
      </c>
      <c r="B195" s="2">
        <v>45955.270833333343</v>
      </c>
      <c r="C195" t="s">
        <v>4</v>
      </c>
      <c r="D195" s="3">
        <v>18.7</v>
      </c>
      <c r="E195" s="3">
        <v>18.5</v>
      </c>
      <c r="F195" s="4">
        <v>59</v>
      </c>
      <c r="G195" s="4">
        <v>1014</v>
      </c>
      <c r="H195" t="s">
        <v>5</v>
      </c>
      <c r="I195" s="3">
        <v>15.5</v>
      </c>
    </row>
    <row r="196" spans="1:9" x14ac:dyDescent="0.25">
      <c r="A196">
        <v>195</v>
      </c>
      <c r="B196" s="2">
        <v>45956.673611111109</v>
      </c>
      <c r="C196" t="s">
        <v>4</v>
      </c>
      <c r="D196" s="3">
        <v>20.6</v>
      </c>
      <c r="E196" s="3">
        <v>21.8</v>
      </c>
      <c r="F196" s="4">
        <v>63</v>
      </c>
      <c r="G196" s="4">
        <v>1021</v>
      </c>
      <c r="H196" t="s">
        <v>9</v>
      </c>
      <c r="I196" s="3">
        <v>17.7</v>
      </c>
    </row>
    <row r="197" spans="1:9" x14ac:dyDescent="0.25">
      <c r="A197">
        <v>196</v>
      </c>
      <c r="B197" s="2">
        <v>45957.881944444453</v>
      </c>
      <c r="C197" t="s">
        <v>4</v>
      </c>
      <c r="D197" s="3">
        <v>21.5</v>
      </c>
      <c r="E197" s="3">
        <v>21.2</v>
      </c>
      <c r="F197" s="4">
        <v>92</v>
      </c>
      <c r="G197" s="4">
        <v>1014</v>
      </c>
      <c r="H197" t="s">
        <v>9</v>
      </c>
      <c r="I197" s="3">
        <v>13.9</v>
      </c>
    </row>
    <row r="198" spans="1:9" x14ac:dyDescent="0.25">
      <c r="A198">
        <v>197</v>
      </c>
      <c r="B198" s="2">
        <v>45958.722222222219</v>
      </c>
      <c r="C198" t="s">
        <v>4</v>
      </c>
      <c r="D198" s="3">
        <v>22.3</v>
      </c>
      <c r="E198" s="3">
        <v>21.3</v>
      </c>
      <c r="F198" s="4">
        <v>52</v>
      </c>
      <c r="G198" s="4">
        <v>1015</v>
      </c>
      <c r="H198" t="s">
        <v>5</v>
      </c>
      <c r="I198" s="3">
        <v>14.1</v>
      </c>
    </row>
    <row r="199" spans="1:9" x14ac:dyDescent="0.25">
      <c r="A199">
        <v>198</v>
      </c>
      <c r="B199" s="2">
        <v>45959.680555555547</v>
      </c>
      <c r="C199" t="s">
        <v>4</v>
      </c>
      <c r="D199" s="3">
        <v>21.1</v>
      </c>
      <c r="E199" s="3">
        <v>21.5</v>
      </c>
      <c r="F199" s="4">
        <v>63</v>
      </c>
      <c r="G199" s="4">
        <v>1009</v>
      </c>
      <c r="H199" t="s">
        <v>7</v>
      </c>
      <c r="I199" s="3">
        <v>19.7</v>
      </c>
    </row>
    <row r="200" spans="1:9" x14ac:dyDescent="0.25">
      <c r="A200">
        <v>199</v>
      </c>
      <c r="B200" s="2">
        <v>45960.611111111109</v>
      </c>
      <c r="C200" t="s">
        <v>4</v>
      </c>
      <c r="D200" s="3">
        <v>21</v>
      </c>
      <c r="E200" s="3">
        <v>20.399999999999999</v>
      </c>
      <c r="F200" s="4">
        <v>64</v>
      </c>
      <c r="G200" s="4">
        <v>1015</v>
      </c>
      <c r="H200" t="s">
        <v>5</v>
      </c>
      <c r="I200" s="3">
        <v>19.7</v>
      </c>
    </row>
    <row r="201" spans="1:9" x14ac:dyDescent="0.25">
      <c r="A201">
        <v>200</v>
      </c>
      <c r="B201" s="2">
        <v>45961.277777777781</v>
      </c>
      <c r="C201" t="s">
        <v>4</v>
      </c>
      <c r="D201" s="3">
        <v>19.100000000000001</v>
      </c>
      <c r="E201" s="3">
        <v>18.600000000000001</v>
      </c>
      <c r="F201" s="4">
        <v>82</v>
      </c>
      <c r="G201" s="4">
        <v>1009</v>
      </c>
      <c r="H201" t="s">
        <v>7</v>
      </c>
      <c r="I201" s="3">
        <v>15.7</v>
      </c>
    </row>
    <row r="202" spans="1:9" x14ac:dyDescent="0.25">
      <c r="A202">
        <v>201</v>
      </c>
      <c r="B202" s="2">
        <v>45962.5</v>
      </c>
      <c r="C202" t="s">
        <v>4</v>
      </c>
      <c r="D202" s="3">
        <v>17.7</v>
      </c>
      <c r="E202" s="3">
        <v>18.600000000000001</v>
      </c>
      <c r="F202" s="4">
        <v>76</v>
      </c>
      <c r="G202" s="4">
        <v>1017</v>
      </c>
      <c r="H202" t="s">
        <v>5</v>
      </c>
      <c r="I202" s="3">
        <v>13.7</v>
      </c>
    </row>
    <row r="203" spans="1:9" x14ac:dyDescent="0.25">
      <c r="A203">
        <v>202</v>
      </c>
      <c r="B203" s="2">
        <v>45963.576388888891</v>
      </c>
      <c r="C203" t="s">
        <v>4</v>
      </c>
      <c r="D203" s="3">
        <v>14.9</v>
      </c>
      <c r="E203" s="3">
        <v>14.5</v>
      </c>
      <c r="F203" s="4">
        <v>70</v>
      </c>
      <c r="G203" s="4">
        <v>1012</v>
      </c>
      <c r="H203" t="s">
        <v>5</v>
      </c>
      <c r="I203" s="3">
        <v>15</v>
      </c>
    </row>
    <row r="204" spans="1:9" x14ac:dyDescent="0.25">
      <c r="A204">
        <v>203</v>
      </c>
      <c r="B204" s="2">
        <v>45964.8125</v>
      </c>
      <c r="C204" t="s">
        <v>4</v>
      </c>
      <c r="D204" s="3">
        <v>23.4</v>
      </c>
      <c r="E204" s="3">
        <v>24.1</v>
      </c>
      <c r="F204" s="4">
        <v>67</v>
      </c>
      <c r="G204" s="4">
        <v>1021</v>
      </c>
      <c r="H204" t="s">
        <v>5</v>
      </c>
      <c r="I204" s="3">
        <v>20.5</v>
      </c>
    </row>
    <row r="205" spans="1:9" x14ac:dyDescent="0.25">
      <c r="A205">
        <v>204</v>
      </c>
      <c r="B205" s="2">
        <v>45965.576388888891</v>
      </c>
      <c r="C205" t="s">
        <v>4</v>
      </c>
      <c r="D205" s="3">
        <v>17.3</v>
      </c>
      <c r="E205" s="3">
        <v>16.899999999999999</v>
      </c>
      <c r="F205" s="4">
        <v>70</v>
      </c>
      <c r="G205" s="4">
        <v>1016</v>
      </c>
      <c r="H205" t="s">
        <v>5</v>
      </c>
      <c r="I205" s="3">
        <v>16.100000000000001</v>
      </c>
    </row>
    <row r="206" spans="1:9" x14ac:dyDescent="0.25">
      <c r="A206">
        <v>205</v>
      </c>
      <c r="B206" s="2">
        <v>45966.909722222219</v>
      </c>
      <c r="C206" t="s">
        <v>4</v>
      </c>
      <c r="D206" s="3">
        <v>21.9</v>
      </c>
      <c r="E206" s="3">
        <v>23.1</v>
      </c>
      <c r="F206" s="4">
        <v>62</v>
      </c>
      <c r="G206" s="4">
        <v>1012</v>
      </c>
      <c r="H206" t="s">
        <v>11</v>
      </c>
      <c r="I206" s="3">
        <v>15.5</v>
      </c>
    </row>
    <row r="207" spans="1:9" x14ac:dyDescent="0.25">
      <c r="A207">
        <v>206</v>
      </c>
      <c r="B207" s="2">
        <v>45967.895833333343</v>
      </c>
      <c r="C207" t="s">
        <v>4</v>
      </c>
      <c r="D207" s="3">
        <v>19.5</v>
      </c>
      <c r="E207" s="3">
        <v>19.100000000000001</v>
      </c>
      <c r="F207" s="4">
        <v>74</v>
      </c>
      <c r="G207" s="4">
        <v>1010</v>
      </c>
      <c r="H207" t="s">
        <v>6</v>
      </c>
      <c r="I207" s="3">
        <v>27.1</v>
      </c>
    </row>
    <row r="208" spans="1:9" x14ac:dyDescent="0.25">
      <c r="A208">
        <v>207</v>
      </c>
      <c r="B208" s="2">
        <v>45968.25</v>
      </c>
      <c r="C208" t="s">
        <v>4</v>
      </c>
      <c r="D208" s="3">
        <v>18.3</v>
      </c>
      <c r="E208" s="3">
        <v>17.2</v>
      </c>
      <c r="F208" s="4">
        <v>60</v>
      </c>
      <c r="G208" s="4">
        <v>1014</v>
      </c>
      <c r="H208" t="s">
        <v>5</v>
      </c>
      <c r="I208" s="3">
        <v>16.7</v>
      </c>
    </row>
    <row r="209" spans="1:9" x14ac:dyDescent="0.25">
      <c r="A209">
        <v>208</v>
      </c>
      <c r="B209" s="2">
        <v>45970.631944444453</v>
      </c>
      <c r="C209" t="s">
        <v>4</v>
      </c>
      <c r="D209" s="3">
        <v>19.5</v>
      </c>
      <c r="E209" s="3">
        <v>20.5</v>
      </c>
      <c r="F209" s="4">
        <v>72</v>
      </c>
      <c r="G209" s="4">
        <v>1018</v>
      </c>
      <c r="H209" t="s">
        <v>5</v>
      </c>
      <c r="I209" s="3">
        <v>17.399999999999999</v>
      </c>
    </row>
    <row r="210" spans="1:9" x14ac:dyDescent="0.25">
      <c r="A210">
        <v>209</v>
      </c>
      <c r="B210" s="2">
        <v>45971.784722222219</v>
      </c>
      <c r="C210" t="s">
        <v>4</v>
      </c>
      <c r="D210" s="3">
        <v>20.2</v>
      </c>
      <c r="E210" s="3">
        <v>20.399999999999999</v>
      </c>
      <c r="F210" s="4">
        <v>75</v>
      </c>
      <c r="G210" s="4">
        <v>1009</v>
      </c>
      <c r="H210" t="s">
        <v>10</v>
      </c>
      <c r="I210" s="3">
        <v>19.7</v>
      </c>
    </row>
    <row r="211" spans="1:9" x14ac:dyDescent="0.25">
      <c r="A211">
        <v>210</v>
      </c>
      <c r="B211" s="2">
        <v>45972.555555555547</v>
      </c>
      <c r="C211" t="s">
        <v>4</v>
      </c>
      <c r="D211" s="3">
        <v>16</v>
      </c>
      <c r="E211" s="3">
        <v>16.3</v>
      </c>
      <c r="F211" s="4">
        <v>81</v>
      </c>
      <c r="G211" s="4">
        <v>1006</v>
      </c>
      <c r="H211" t="s">
        <v>8</v>
      </c>
      <c r="I211" s="3">
        <v>24.5</v>
      </c>
    </row>
    <row r="212" spans="1:9" x14ac:dyDescent="0.25">
      <c r="A212">
        <v>211</v>
      </c>
      <c r="B212" s="2">
        <v>45973.729166666657</v>
      </c>
      <c r="C212" t="s">
        <v>4</v>
      </c>
      <c r="D212" s="3">
        <v>17.5</v>
      </c>
      <c r="E212" s="3">
        <v>17</v>
      </c>
      <c r="F212" s="4">
        <v>62</v>
      </c>
      <c r="G212" s="4">
        <v>1016</v>
      </c>
      <c r="H212" t="s">
        <v>5</v>
      </c>
      <c r="I212" s="3">
        <v>18.8</v>
      </c>
    </row>
    <row r="213" spans="1:9" x14ac:dyDescent="0.25">
      <c r="A213">
        <v>212</v>
      </c>
      <c r="B213" s="2">
        <v>45974.729166666657</v>
      </c>
      <c r="C213" t="s">
        <v>4</v>
      </c>
      <c r="D213" s="3">
        <v>21.4</v>
      </c>
      <c r="E213" s="3">
        <v>20.399999999999999</v>
      </c>
      <c r="F213" s="4">
        <v>71</v>
      </c>
      <c r="G213" s="4">
        <v>1016</v>
      </c>
      <c r="H213" t="s">
        <v>11</v>
      </c>
      <c r="I213" s="3">
        <v>20.7</v>
      </c>
    </row>
    <row r="214" spans="1:9" x14ac:dyDescent="0.25">
      <c r="A214">
        <v>213</v>
      </c>
      <c r="B214" s="2">
        <v>45975.680555555547</v>
      </c>
      <c r="C214" t="s">
        <v>4</v>
      </c>
      <c r="D214" s="3">
        <v>20.6</v>
      </c>
      <c r="E214" s="3">
        <v>20.100000000000001</v>
      </c>
      <c r="F214" s="4">
        <v>77</v>
      </c>
      <c r="G214" s="4">
        <v>1011</v>
      </c>
      <c r="H214" t="s">
        <v>9</v>
      </c>
      <c r="I214" s="3">
        <v>15.2</v>
      </c>
    </row>
    <row r="215" spans="1:9" x14ac:dyDescent="0.25">
      <c r="A215">
        <v>214</v>
      </c>
      <c r="B215" s="2">
        <v>45976.847222222219</v>
      </c>
      <c r="C215" t="s">
        <v>4</v>
      </c>
      <c r="D215" s="3">
        <v>19</v>
      </c>
      <c r="E215" s="3">
        <v>18.100000000000001</v>
      </c>
      <c r="F215" s="4">
        <v>67</v>
      </c>
      <c r="G215" s="4">
        <v>1020</v>
      </c>
      <c r="H215" t="s">
        <v>10</v>
      </c>
      <c r="I215" s="3">
        <v>26</v>
      </c>
    </row>
    <row r="216" spans="1:9" x14ac:dyDescent="0.25">
      <c r="A216">
        <v>215</v>
      </c>
      <c r="B216" s="2">
        <v>45977.638888888891</v>
      </c>
      <c r="C216" t="s">
        <v>4</v>
      </c>
      <c r="D216" s="3">
        <v>17.100000000000001</v>
      </c>
      <c r="E216" s="3">
        <v>18.100000000000001</v>
      </c>
      <c r="F216" s="4">
        <v>70</v>
      </c>
      <c r="G216" s="4">
        <v>1026</v>
      </c>
      <c r="H216" t="s">
        <v>5</v>
      </c>
      <c r="I216" s="3">
        <v>21.8</v>
      </c>
    </row>
    <row r="217" spans="1:9" x14ac:dyDescent="0.25">
      <c r="A217">
        <v>216</v>
      </c>
      <c r="B217" s="2">
        <v>45978.541666666657</v>
      </c>
      <c r="C217" t="s">
        <v>4</v>
      </c>
      <c r="D217" s="3">
        <v>17.7</v>
      </c>
      <c r="E217" s="3">
        <v>18.8</v>
      </c>
      <c r="F217" s="4">
        <v>65</v>
      </c>
      <c r="G217" s="4">
        <v>1012</v>
      </c>
      <c r="H217" t="s">
        <v>10</v>
      </c>
      <c r="I217" s="3">
        <v>17.2</v>
      </c>
    </row>
    <row r="218" spans="1:9" x14ac:dyDescent="0.25">
      <c r="A218">
        <v>217</v>
      </c>
      <c r="B218" s="2">
        <v>45979.513888888891</v>
      </c>
      <c r="C218" t="s">
        <v>4</v>
      </c>
      <c r="D218" s="3">
        <v>10.4</v>
      </c>
      <c r="E218" s="3">
        <v>8.9</v>
      </c>
      <c r="F218" s="4">
        <v>84</v>
      </c>
      <c r="G218" s="4">
        <v>1010</v>
      </c>
      <c r="H218" t="s">
        <v>6</v>
      </c>
      <c r="I218" s="3">
        <v>24.3</v>
      </c>
    </row>
    <row r="219" spans="1:9" x14ac:dyDescent="0.25">
      <c r="A219">
        <v>218</v>
      </c>
      <c r="B219" s="2">
        <v>45980.409722222219</v>
      </c>
      <c r="C219" t="s">
        <v>4</v>
      </c>
      <c r="D219" s="3">
        <v>15.5</v>
      </c>
      <c r="E219" s="3">
        <v>15.6</v>
      </c>
      <c r="F219" s="4">
        <v>65</v>
      </c>
      <c r="G219" s="4">
        <v>1020</v>
      </c>
      <c r="H219" t="s">
        <v>5</v>
      </c>
      <c r="I219" s="3">
        <v>20.3</v>
      </c>
    </row>
    <row r="220" spans="1:9" x14ac:dyDescent="0.25">
      <c r="A220">
        <v>219</v>
      </c>
      <c r="B220" s="2">
        <v>45981.465277777781</v>
      </c>
      <c r="C220" t="s">
        <v>4</v>
      </c>
      <c r="D220" s="3">
        <v>15.7</v>
      </c>
      <c r="E220" s="3">
        <v>16.2</v>
      </c>
      <c r="F220" s="4">
        <v>82</v>
      </c>
      <c r="G220" s="4">
        <v>1022</v>
      </c>
      <c r="H220" t="s">
        <v>5</v>
      </c>
      <c r="I220" s="3">
        <v>17.5</v>
      </c>
    </row>
    <row r="221" spans="1:9" x14ac:dyDescent="0.25">
      <c r="A221">
        <v>220</v>
      </c>
      <c r="B221" s="2">
        <v>45982.534722222219</v>
      </c>
      <c r="C221" t="s">
        <v>4</v>
      </c>
      <c r="D221" s="3">
        <v>18</v>
      </c>
      <c r="E221" s="3">
        <v>18</v>
      </c>
      <c r="F221" s="4">
        <v>98</v>
      </c>
      <c r="G221" s="4">
        <v>1007</v>
      </c>
      <c r="H221" t="s">
        <v>10</v>
      </c>
      <c r="I221" s="3">
        <v>21.9</v>
      </c>
    </row>
    <row r="222" spans="1:9" x14ac:dyDescent="0.25">
      <c r="A222">
        <v>221</v>
      </c>
      <c r="B222" s="2">
        <v>45983.888888888891</v>
      </c>
      <c r="C222" t="s">
        <v>4</v>
      </c>
      <c r="D222" s="3">
        <v>20</v>
      </c>
      <c r="E222" s="3">
        <v>20.2</v>
      </c>
      <c r="F222" s="4">
        <v>75</v>
      </c>
      <c r="G222" s="4">
        <v>1012</v>
      </c>
      <c r="H222" t="s">
        <v>7</v>
      </c>
      <c r="I222" s="3">
        <v>19.399999999999999</v>
      </c>
    </row>
    <row r="223" spans="1:9" x14ac:dyDescent="0.25">
      <c r="A223">
        <v>222</v>
      </c>
      <c r="B223" s="2">
        <v>45984.625</v>
      </c>
      <c r="C223" t="s">
        <v>4</v>
      </c>
      <c r="D223" s="3">
        <v>15.6</v>
      </c>
      <c r="E223" s="3">
        <v>15.2</v>
      </c>
      <c r="F223" s="4">
        <v>68</v>
      </c>
      <c r="G223" s="4">
        <v>1013</v>
      </c>
      <c r="H223" t="s">
        <v>5</v>
      </c>
      <c r="I223" s="3">
        <v>16.5</v>
      </c>
    </row>
    <row r="224" spans="1:9" x14ac:dyDescent="0.25">
      <c r="A224">
        <v>223</v>
      </c>
      <c r="B224" s="2">
        <v>45985.513888888891</v>
      </c>
      <c r="C224" t="s">
        <v>4</v>
      </c>
      <c r="D224" s="3">
        <v>16</v>
      </c>
      <c r="E224" s="3">
        <v>17.2</v>
      </c>
      <c r="F224" s="4">
        <v>63</v>
      </c>
      <c r="G224" s="4">
        <v>1016</v>
      </c>
      <c r="H224" t="s">
        <v>5</v>
      </c>
      <c r="I224" s="3">
        <v>18.3</v>
      </c>
    </row>
    <row r="225" spans="1:9" x14ac:dyDescent="0.25">
      <c r="A225">
        <v>224</v>
      </c>
      <c r="B225" s="2">
        <v>45986.555555555547</v>
      </c>
      <c r="C225" t="s">
        <v>4</v>
      </c>
      <c r="D225" s="3">
        <v>11.2</v>
      </c>
      <c r="E225" s="3">
        <v>9.1</v>
      </c>
      <c r="F225" s="4">
        <v>80</v>
      </c>
      <c r="G225" s="4">
        <v>1008</v>
      </c>
      <c r="H225" t="s">
        <v>13</v>
      </c>
      <c r="I225" s="3">
        <v>32.1</v>
      </c>
    </row>
    <row r="226" spans="1:9" x14ac:dyDescent="0.25">
      <c r="A226">
        <v>225</v>
      </c>
      <c r="B226" s="2">
        <v>45987.472222222219</v>
      </c>
      <c r="C226" t="s">
        <v>4</v>
      </c>
      <c r="D226" s="3">
        <v>13.9</v>
      </c>
      <c r="E226" s="3">
        <v>14.3</v>
      </c>
      <c r="F226" s="4">
        <v>60</v>
      </c>
      <c r="G226" s="4">
        <v>1018</v>
      </c>
      <c r="H226" t="s">
        <v>5</v>
      </c>
      <c r="I226" s="3">
        <v>20.6</v>
      </c>
    </row>
    <row r="227" spans="1:9" x14ac:dyDescent="0.25">
      <c r="A227">
        <v>226</v>
      </c>
      <c r="B227" s="2">
        <v>45988.284722222219</v>
      </c>
      <c r="C227" t="s">
        <v>4</v>
      </c>
      <c r="D227" s="3">
        <v>17.8</v>
      </c>
      <c r="E227" s="3">
        <v>17</v>
      </c>
      <c r="F227" s="4">
        <v>82</v>
      </c>
      <c r="G227" s="4">
        <v>1015</v>
      </c>
      <c r="H227" t="s">
        <v>11</v>
      </c>
      <c r="I227" s="3">
        <v>15</v>
      </c>
    </row>
    <row r="228" spans="1:9" x14ac:dyDescent="0.25">
      <c r="A228">
        <v>227</v>
      </c>
      <c r="B228" s="2">
        <v>45989.430555555547</v>
      </c>
      <c r="C228" t="s">
        <v>4</v>
      </c>
      <c r="D228" s="3">
        <v>13</v>
      </c>
      <c r="E228" s="3">
        <v>12.1</v>
      </c>
      <c r="F228" s="4">
        <v>64</v>
      </c>
      <c r="G228" s="4">
        <v>1016</v>
      </c>
      <c r="H228" t="s">
        <v>5</v>
      </c>
      <c r="I228" s="3">
        <v>25</v>
      </c>
    </row>
    <row r="229" spans="1:9" x14ac:dyDescent="0.25">
      <c r="A229">
        <v>228</v>
      </c>
      <c r="B229" s="2">
        <v>45990.291666666657</v>
      </c>
      <c r="C229" t="s">
        <v>4</v>
      </c>
      <c r="D229" s="3">
        <v>12.9</v>
      </c>
      <c r="E229" s="3">
        <v>13.3</v>
      </c>
      <c r="F229" s="4">
        <v>92</v>
      </c>
      <c r="G229" s="4">
        <v>1010</v>
      </c>
      <c r="H229" t="s">
        <v>8</v>
      </c>
      <c r="I229" s="3">
        <v>19.899999999999999</v>
      </c>
    </row>
    <row r="230" spans="1:9" x14ac:dyDescent="0.25">
      <c r="A230">
        <v>229</v>
      </c>
      <c r="B230" s="2">
        <v>45991.659722222219</v>
      </c>
      <c r="C230" t="s">
        <v>4</v>
      </c>
      <c r="D230" s="3">
        <v>18.100000000000001</v>
      </c>
      <c r="E230" s="3">
        <v>19.2</v>
      </c>
      <c r="F230" s="4">
        <v>68</v>
      </c>
      <c r="G230" s="4">
        <v>1016</v>
      </c>
      <c r="H230" t="s">
        <v>9</v>
      </c>
      <c r="I230" s="3">
        <v>18.100000000000001</v>
      </c>
    </row>
    <row r="231" spans="1:9" x14ac:dyDescent="0.25">
      <c r="A231">
        <v>230</v>
      </c>
      <c r="B231" s="2">
        <v>45992.451388888891</v>
      </c>
      <c r="C231" t="s">
        <v>4</v>
      </c>
      <c r="D231" s="3">
        <v>13</v>
      </c>
      <c r="E231" s="3">
        <v>13</v>
      </c>
      <c r="F231" s="4">
        <v>79</v>
      </c>
      <c r="G231" s="4">
        <v>1028</v>
      </c>
      <c r="H231" t="s">
        <v>5</v>
      </c>
      <c r="I231" s="3">
        <v>26.5</v>
      </c>
    </row>
    <row r="232" spans="1:9" x14ac:dyDescent="0.25">
      <c r="A232">
        <v>231</v>
      </c>
      <c r="B232" s="2">
        <v>45993.875</v>
      </c>
      <c r="C232" t="s">
        <v>4</v>
      </c>
      <c r="D232" s="3">
        <v>15.8</v>
      </c>
      <c r="E232" s="3">
        <v>16</v>
      </c>
      <c r="F232" s="4">
        <v>77</v>
      </c>
      <c r="G232" s="4">
        <v>1021</v>
      </c>
      <c r="H232" t="s">
        <v>11</v>
      </c>
      <c r="I232" s="3">
        <v>19.8</v>
      </c>
    </row>
    <row r="233" spans="1:9" x14ac:dyDescent="0.25">
      <c r="A233">
        <v>232</v>
      </c>
      <c r="B233" s="2">
        <v>45994.277777777781</v>
      </c>
      <c r="C233" t="s">
        <v>4</v>
      </c>
      <c r="D233" s="3">
        <v>9.6</v>
      </c>
      <c r="E233" s="3">
        <v>10.7</v>
      </c>
      <c r="F233" s="4">
        <v>70</v>
      </c>
      <c r="G233" s="4">
        <v>1012</v>
      </c>
      <c r="H233" t="s">
        <v>5</v>
      </c>
      <c r="I233" s="3">
        <v>17.8</v>
      </c>
    </row>
    <row r="234" spans="1:9" x14ac:dyDescent="0.25">
      <c r="A234">
        <v>233</v>
      </c>
      <c r="B234" s="2">
        <v>45995.645833333343</v>
      </c>
      <c r="C234" t="s">
        <v>4</v>
      </c>
      <c r="D234" s="3">
        <v>18.899999999999999</v>
      </c>
      <c r="E234" s="3">
        <v>19.2</v>
      </c>
      <c r="F234" s="4">
        <v>95</v>
      </c>
      <c r="G234" s="4">
        <v>1008</v>
      </c>
      <c r="H234" t="s">
        <v>10</v>
      </c>
      <c r="I234" s="3">
        <v>21.9</v>
      </c>
    </row>
    <row r="235" spans="1:9" x14ac:dyDescent="0.25">
      <c r="A235">
        <v>234</v>
      </c>
      <c r="B235" s="2">
        <v>45996.895833333343</v>
      </c>
      <c r="C235" t="s">
        <v>4</v>
      </c>
      <c r="D235" s="3">
        <v>16.600000000000001</v>
      </c>
      <c r="E235" s="3">
        <v>17.100000000000001</v>
      </c>
      <c r="F235" s="4">
        <v>70</v>
      </c>
      <c r="G235" s="4">
        <v>1014</v>
      </c>
      <c r="H235" t="s">
        <v>5</v>
      </c>
      <c r="I235" s="3">
        <v>20.100000000000001</v>
      </c>
    </row>
    <row r="236" spans="1:9" x14ac:dyDescent="0.25">
      <c r="A236">
        <v>235</v>
      </c>
      <c r="B236" s="2">
        <v>45997.673611111109</v>
      </c>
      <c r="C236" t="s">
        <v>4</v>
      </c>
      <c r="D236" s="3">
        <v>18.7</v>
      </c>
      <c r="E236" s="3">
        <v>19.600000000000001</v>
      </c>
      <c r="F236" s="4">
        <v>80</v>
      </c>
      <c r="G236" s="4">
        <v>1023</v>
      </c>
      <c r="H236" t="s">
        <v>5</v>
      </c>
      <c r="I236" s="3">
        <v>16.8</v>
      </c>
    </row>
    <row r="237" spans="1:9" x14ac:dyDescent="0.25">
      <c r="A237">
        <v>236</v>
      </c>
      <c r="B237" s="2">
        <v>45999.305555555547</v>
      </c>
      <c r="C237" t="s">
        <v>4</v>
      </c>
      <c r="D237" s="3">
        <v>11.2</v>
      </c>
      <c r="E237" s="3">
        <v>11.4</v>
      </c>
      <c r="F237" s="4">
        <v>73</v>
      </c>
      <c r="G237" s="4">
        <v>1019</v>
      </c>
      <c r="H237" t="s">
        <v>5</v>
      </c>
      <c r="I237" s="3">
        <v>16.7</v>
      </c>
    </row>
    <row r="238" spans="1:9" x14ac:dyDescent="0.25">
      <c r="A238">
        <v>237</v>
      </c>
      <c r="B238" s="2">
        <v>46000.875</v>
      </c>
      <c r="C238" t="s">
        <v>4</v>
      </c>
      <c r="D238" s="3">
        <v>13.5</v>
      </c>
      <c r="E238" s="3">
        <v>14.2</v>
      </c>
      <c r="F238" s="4">
        <v>84</v>
      </c>
      <c r="G238" s="4">
        <v>1023</v>
      </c>
      <c r="H238" t="s">
        <v>8</v>
      </c>
      <c r="I238" s="3">
        <v>23.6</v>
      </c>
    </row>
    <row r="239" spans="1:9" x14ac:dyDescent="0.25">
      <c r="A239">
        <v>238</v>
      </c>
      <c r="B239" s="2">
        <v>46001.354166666657</v>
      </c>
      <c r="C239" t="s">
        <v>4</v>
      </c>
      <c r="D239" s="3">
        <v>11.8</v>
      </c>
      <c r="E239" s="3">
        <v>9.6999999999999993</v>
      </c>
      <c r="F239" s="4">
        <v>99</v>
      </c>
      <c r="G239" s="4">
        <v>1013</v>
      </c>
      <c r="H239" t="s">
        <v>13</v>
      </c>
      <c r="I239" s="3">
        <v>29.7</v>
      </c>
    </row>
    <row r="240" spans="1:9" x14ac:dyDescent="0.25">
      <c r="A240">
        <v>239</v>
      </c>
      <c r="B240" s="2">
        <v>46002.875</v>
      </c>
      <c r="C240" t="s">
        <v>4</v>
      </c>
      <c r="D240" s="3">
        <v>15.7</v>
      </c>
      <c r="E240" s="3">
        <v>15.2</v>
      </c>
      <c r="F240" s="4">
        <v>70</v>
      </c>
      <c r="G240" s="4">
        <v>1017</v>
      </c>
      <c r="H240" t="s">
        <v>9</v>
      </c>
      <c r="I240" s="3">
        <v>16.899999999999999</v>
      </c>
    </row>
    <row r="241" spans="1:9" x14ac:dyDescent="0.25">
      <c r="A241">
        <v>240</v>
      </c>
      <c r="B241" s="2">
        <v>46003.298611111109</v>
      </c>
      <c r="C241" t="s">
        <v>4</v>
      </c>
      <c r="D241" s="3">
        <v>12.5</v>
      </c>
      <c r="E241" s="3">
        <v>12</v>
      </c>
      <c r="F241" s="4">
        <v>70</v>
      </c>
      <c r="G241" s="4">
        <v>1016</v>
      </c>
      <c r="H241" t="s">
        <v>5</v>
      </c>
      <c r="I241" s="3">
        <v>21.7</v>
      </c>
    </row>
    <row r="242" spans="1:9" x14ac:dyDescent="0.25">
      <c r="A242">
        <v>241</v>
      </c>
      <c r="B242" s="2">
        <v>46004.444444444453</v>
      </c>
      <c r="C242" t="s">
        <v>4</v>
      </c>
      <c r="D242" s="3">
        <v>11.6</v>
      </c>
      <c r="E242" s="3">
        <v>10.3</v>
      </c>
      <c r="F242" s="4">
        <v>76</v>
      </c>
      <c r="G242" s="4">
        <v>1011</v>
      </c>
      <c r="H242" t="s">
        <v>12</v>
      </c>
      <c r="I242" s="3">
        <v>20.100000000000001</v>
      </c>
    </row>
    <row r="243" spans="1:9" x14ac:dyDescent="0.25">
      <c r="A243">
        <v>242</v>
      </c>
      <c r="B243" s="2">
        <v>46005.625</v>
      </c>
      <c r="C243" t="s">
        <v>4</v>
      </c>
      <c r="D243" s="3">
        <v>14.1</v>
      </c>
      <c r="E243" s="3">
        <v>15.2</v>
      </c>
      <c r="F243" s="4">
        <v>86</v>
      </c>
      <c r="G243" s="4">
        <v>1025</v>
      </c>
      <c r="H243" t="s">
        <v>12</v>
      </c>
      <c r="I243" s="3">
        <v>29.1</v>
      </c>
    </row>
    <row r="244" spans="1:9" x14ac:dyDescent="0.25">
      <c r="A244">
        <v>243</v>
      </c>
      <c r="B244" s="2">
        <v>46006.541666666657</v>
      </c>
      <c r="C244" t="s">
        <v>4</v>
      </c>
      <c r="D244" s="3">
        <v>15.2</v>
      </c>
      <c r="E244" s="3">
        <v>15.4</v>
      </c>
      <c r="F244" s="4">
        <v>80</v>
      </c>
      <c r="G244" s="4">
        <v>1013</v>
      </c>
      <c r="H244" t="s">
        <v>11</v>
      </c>
      <c r="I244" s="3">
        <v>16.5</v>
      </c>
    </row>
    <row r="245" spans="1:9" x14ac:dyDescent="0.25">
      <c r="A245">
        <v>244</v>
      </c>
      <c r="B245" s="2">
        <v>46007.819444444453</v>
      </c>
      <c r="C245" t="s">
        <v>4</v>
      </c>
      <c r="D245" s="3">
        <v>15.4</v>
      </c>
      <c r="E245" s="3">
        <v>15.8</v>
      </c>
      <c r="F245" s="4">
        <v>70</v>
      </c>
      <c r="G245" s="4">
        <v>1015</v>
      </c>
      <c r="H245" t="s">
        <v>5</v>
      </c>
      <c r="I245" s="3">
        <v>17.8</v>
      </c>
    </row>
    <row r="246" spans="1:9" x14ac:dyDescent="0.25">
      <c r="A246">
        <v>245</v>
      </c>
      <c r="B246" s="2">
        <v>46008.569444444453</v>
      </c>
      <c r="C246" t="s">
        <v>4</v>
      </c>
      <c r="D246" s="3">
        <v>16.5</v>
      </c>
      <c r="E246" s="3">
        <v>15.8</v>
      </c>
      <c r="F246" s="4">
        <v>64</v>
      </c>
      <c r="G246" s="4">
        <v>1018</v>
      </c>
      <c r="H246" t="s">
        <v>5</v>
      </c>
      <c r="I246" s="3">
        <v>22.5</v>
      </c>
    </row>
    <row r="247" spans="1:9" x14ac:dyDescent="0.25">
      <c r="A247">
        <v>246</v>
      </c>
      <c r="B247" s="2">
        <v>46009.770833333343</v>
      </c>
      <c r="C247" t="s">
        <v>4</v>
      </c>
      <c r="D247" s="3">
        <v>17</v>
      </c>
      <c r="E247" s="3">
        <v>17.600000000000001</v>
      </c>
      <c r="F247" s="4">
        <v>84</v>
      </c>
      <c r="G247" s="4">
        <v>1001</v>
      </c>
      <c r="H247" t="s">
        <v>10</v>
      </c>
      <c r="I247" s="3">
        <v>25.9</v>
      </c>
    </row>
    <row r="248" spans="1:9" x14ac:dyDescent="0.25">
      <c r="A248">
        <v>247</v>
      </c>
      <c r="B248" s="2">
        <v>46010.847222222219</v>
      </c>
      <c r="C248" t="s">
        <v>4</v>
      </c>
      <c r="D248" s="3">
        <v>15.4</v>
      </c>
      <c r="E248" s="3">
        <v>15.1</v>
      </c>
      <c r="F248" s="4">
        <v>68</v>
      </c>
      <c r="G248" s="4">
        <v>1017</v>
      </c>
      <c r="H248" t="s">
        <v>9</v>
      </c>
      <c r="I248" s="3">
        <v>21.1</v>
      </c>
    </row>
    <row r="249" spans="1:9" x14ac:dyDescent="0.25">
      <c r="A249">
        <v>248</v>
      </c>
      <c r="B249" s="2">
        <v>46011.805555555547</v>
      </c>
      <c r="C249" t="s">
        <v>4</v>
      </c>
      <c r="D249" s="3">
        <v>16.3</v>
      </c>
      <c r="E249" s="3">
        <v>16.7</v>
      </c>
      <c r="F249" s="4">
        <v>81</v>
      </c>
      <c r="G249" s="4">
        <v>1017</v>
      </c>
      <c r="H249" t="s">
        <v>8</v>
      </c>
      <c r="I249" s="3">
        <v>25.9</v>
      </c>
    </row>
    <row r="250" spans="1:9" x14ac:dyDescent="0.25">
      <c r="A250">
        <v>249</v>
      </c>
      <c r="B250" s="2">
        <v>46012.319444444453</v>
      </c>
      <c r="C250" t="s">
        <v>4</v>
      </c>
      <c r="D250" s="3">
        <v>9.6999999999999993</v>
      </c>
      <c r="E250" s="3">
        <v>8.4</v>
      </c>
      <c r="F250" s="4">
        <v>79</v>
      </c>
      <c r="G250" s="4">
        <v>1017</v>
      </c>
      <c r="H250" t="s">
        <v>6</v>
      </c>
      <c r="I250" s="3">
        <v>25.1</v>
      </c>
    </row>
    <row r="251" spans="1:9" x14ac:dyDescent="0.25">
      <c r="A251">
        <v>250</v>
      </c>
      <c r="B251" s="2">
        <v>46013.381944444453</v>
      </c>
      <c r="C251" t="s">
        <v>4</v>
      </c>
      <c r="D251" s="3">
        <v>10.6</v>
      </c>
      <c r="E251" s="3">
        <v>11.8</v>
      </c>
      <c r="F251" s="4">
        <v>87</v>
      </c>
      <c r="G251" s="4">
        <v>1014</v>
      </c>
      <c r="H251" t="s">
        <v>8</v>
      </c>
      <c r="I251" s="3">
        <v>15.7</v>
      </c>
    </row>
    <row r="252" spans="1:9" x14ac:dyDescent="0.25">
      <c r="A252">
        <v>251</v>
      </c>
      <c r="B252" s="2">
        <v>46014.513888888891</v>
      </c>
      <c r="C252" t="s">
        <v>4</v>
      </c>
      <c r="D252" s="3">
        <v>12.8</v>
      </c>
      <c r="E252" s="3">
        <v>13.4</v>
      </c>
      <c r="F252" s="4">
        <v>80</v>
      </c>
      <c r="G252" s="4">
        <v>1017</v>
      </c>
      <c r="H252" t="s">
        <v>7</v>
      </c>
      <c r="I252" s="3">
        <v>16.100000000000001</v>
      </c>
    </row>
    <row r="253" spans="1:9" x14ac:dyDescent="0.25">
      <c r="A253">
        <v>252</v>
      </c>
      <c r="B253" s="2">
        <v>46015.340277777781</v>
      </c>
      <c r="C253" t="s">
        <v>4</v>
      </c>
      <c r="D253" s="3">
        <v>11.3</v>
      </c>
      <c r="E253" s="3">
        <v>11</v>
      </c>
      <c r="F253" s="4">
        <v>55</v>
      </c>
      <c r="G253" s="4">
        <v>1017</v>
      </c>
      <c r="H253" t="s">
        <v>5</v>
      </c>
      <c r="I253" s="3">
        <v>19.3</v>
      </c>
    </row>
    <row r="254" spans="1:9" x14ac:dyDescent="0.25">
      <c r="A254">
        <v>253</v>
      </c>
      <c r="B254" s="2">
        <v>46016.548611111109</v>
      </c>
      <c r="C254" t="s">
        <v>4</v>
      </c>
      <c r="D254" s="3">
        <v>10.9</v>
      </c>
      <c r="E254" s="3">
        <v>9.5</v>
      </c>
      <c r="F254" s="4">
        <v>89</v>
      </c>
      <c r="G254" s="4">
        <v>1014</v>
      </c>
      <c r="H254" t="s">
        <v>9</v>
      </c>
      <c r="I254" s="3">
        <v>20.399999999999999</v>
      </c>
    </row>
    <row r="255" spans="1:9" x14ac:dyDescent="0.25">
      <c r="A255">
        <v>254</v>
      </c>
      <c r="B255" s="2">
        <v>46017.340277777781</v>
      </c>
      <c r="C255" t="s">
        <v>4</v>
      </c>
      <c r="D255" s="3">
        <v>10.9</v>
      </c>
      <c r="E255" s="3">
        <v>10.3</v>
      </c>
      <c r="F255" s="4">
        <v>98</v>
      </c>
      <c r="G255" s="4">
        <v>1006</v>
      </c>
      <c r="H255" t="s">
        <v>8</v>
      </c>
      <c r="I255" s="3">
        <v>18.100000000000001</v>
      </c>
    </row>
    <row r="256" spans="1:9" x14ac:dyDescent="0.25">
      <c r="A256">
        <v>255</v>
      </c>
      <c r="B256" s="2">
        <v>46018.270833333343</v>
      </c>
      <c r="C256" t="s">
        <v>4</v>
      </c>
      <c r="D256" s="3">
        <v>9.1</v>
      </c>
      <c r="E256" s="3">
        <v>8.4</v>
      </c>
      <c r="F256" s="4">
        <v>95</v>
      </c>
      <c r="G256" s="4">
        <v>1014</v>
      </c>
      <c r="H256" t="s">
        <v>8</v>
      </c>
      <c r="I256" s="3">
        <v>20.9</v>
      </c>
    </row>
    <row r="257" spans="1:9" x14ac:dyDescent="0.25">
      <c r="A257">
        <v>256</v>
      </c>
      <c r="B257" s="2">
        <v>46019.868055555547</v>
      </c>
      <c r="C257" t="s">
        <v>4</v>
      </c>
      <c r="D257" s="3">
        <v>12.3</v>
      </c>
      <c r="E257" s="3">
        <v>13.2</v>
      </c>
      <c r="F257" s="4">
        <v>93</v>
      </c>
      <c r="G257" s="4">
        <v>1015</v>
      </c>
      <c r="H257" t="s">
        <v>8</v>
      </c>
      <c r="I257" s="3">
        <v>16.3</v>
      </c>
    </row>
    <row r="258" spans="1:9" x14ac:dyDescent="0.25">
      <c r="A258">
        <v>257</v>
      </c>
      <c r="B258" s="2">
        <v>46020.888888888891</v>
      </c>
      <c r="C258" t="s">
        <v>4</v>
      </c>
      <c r="D258" s="3">
        <v>15.6</v>
      </c>
      <c r="E258" s="3">
        <v>16.8</v>
      </c>
      <c r="F258" s="4">
        <v>75</v>
      </c>
      <c r="G258" s="4">
        <v>1013</v>
      </c>
      <c r="H258" t="s">
        <v>5</v>
      </c>
      <c r="I258" s="3">
        <v>18.100000000000001</v>
      </c>
    </row>
    <row r="259" spans="1:9" x14ac:dyDescent="0.25">
      <c r="A259">
        <v>258</v>
      </c>
      <c r="B259" s="2">
        <v>46021.298611111109</v>
      </c>
      <c r="C259" t="s">
        <v>4</v>
      </c>
      <c r="D259" s="3">
        <v>10.9</v>
      </c>
      <c r="E259" s="3">
        <v>10.5</v>
      </c>
      <c r="F259" s="4">
        <v>96</v>
      </c>
      <c r="G259" s="4">
        <v>1012</v>
      </c>
      <c r="H259" t="s">
        <v>9</v>
      </c>
      <c r="I259" s="3">
        <v>18.8</v>
      </c>
    </row>
    <row r="260" spans="1:9" x14ac:dyDescent="0.25">
      <c r="A260">
        <v>259</v>
      </c>
      <c r="B260" s="2">
        <v>46022.659722222219</v>
      </c>
      <c r="C260" t="s">
        <v>4</v>
      </c>
      <c r="D260" s="3">
        <v>13.9</v>
      </c>
      <c r="E260" s="3">
        <v>14.2</v>
      </c>
      <c r="F260" s="4">
        <v>99</v>
      </c>
      <c r="G260" s="4">
        <v>1022</v>
      </c>
      <c r="H260" t="s">
        <v>14</v>
      </c>
      <c r="I260" s="3">
        <v>14.6</v>
      </c>
    </row>
    <row r="261" spans="1:9" x14ac:dyDescent="0.25">
      <c r="A261">
        <v>260</v>
      </c>
      <c r="B261" s="2">
        <v>46023.659722222219</v>
      </c>
      <c r="C261" t="s">
        <v>4</v>
      </c>
      <c r="D261" s="3">
        <v>12.5</v>
      </c>
      <c r="E261" s="3">
        <v>12.9</v>
      </c>
      <c r="F261" s="4">
        <v>84</v>
      </c>
      <c r="G261" s="4">
        <v>1011</v>
      </c>
      <c r="H261" t="s">
        <v>6</v>
      </c>
      <c r="I261" s="3">
        <v>25.2</v>
      </c>
    </row>
    <row r="262" spans="1:9" x14ac:dyDescent="0.25">
      <c r="A262">
        <v>261</v>
      </c>
      <c r="B262" s="2">
        <v>46024.833333333343</v>
      </c>
      <c r="C262" t="s">
        <v>4</v>
      </c>
      <c r="D262" s="3">
        <v>13.2</v>
      </c>
      <c r="E262" s="3">
        <v>14.2</v>
      </c>
      <c r="F262" s="4">
        <v>89</v>
      </c>
      <c r="G262" s="4">
        <v>1016</v>
      </c>
      <c r="H262" t="s">
        <v>8</v>
      </c>
      <c r="I262" s="3">
        <v>21.9</v>
      </c>
    </row>
    <row r="263" spans="1:9" x14ac:dyDescent="0.25">
      <c r="A263">
        <v>262</v>
      </c>
      <c r="B263" s="2">
        <v>46025.555555555547</v>
      </c>
      <c r="C263" t="s">
        <v>4</v>
      </c>
      <c r="D263" s="3">
        <v>8</v>
      </c>
      <c r="E263" s="3">
        <v>7.3</v>
      </c>
      <c r="F263" s="4">
        <v>74</v>
      </c>
      <c r="G263" s="4">
        <v>1015</v>
      </c>
      <c r="H263" t="s">
        <v>11</v>
      </c>
      <c r="I263" s="3">
        <v>16.399999999999999</v>
      </c>
    </row>
    <row r="264" spans="1:9" x14ac:dyDescent="0.25">
      <c r="A264">
        <v>263</v>
      </c>
      <c r="B264" s="2">
        <v>46026.520833333343</v>
      </c>
      <c r="C264" t="s">
        <v>4</v>
      </c>
      <c r="D264" s="3">
        <v>9.1</v>
      </c>
      <c r="E264" s="3">
        <v>9.6</v>
      </c>
      <c r="F264" s="4">
        <v>64</v>
      </c>
      <c r="G264" s="4">
        <v>1019</v>
      </c>
      <c r="H264" t="s">
        <v>5</v>
      </c>
      <c r="I264" s="3">
        <v>17.899999999999999</v>
      </c>
    </row>
    <row r="265" spans="1:9" x14ac:dyDescent="0.25">
      <c r="A265">
        <v>264</v>
      </c>
      <c r="B265" s="2">
        <v>46027.402777777781</v>
      </c>
      <c r="C265" t="s">
        <v>4</v>
      </c>
      <c r="D265" s="3">
        <v>7.5</v>
      </c>
      <c r="E265" s="3">
        <v>6.6</v>
      </c>
      <c r="F265" s="4">
        <v>67</v>
      </c>
      <c r="G265" s="4">
        <v>1021</v>
      </c>
      <c r="H265" t="s">
        <v>5</v>
      </c>
      <c r="I265" s="3">
        <v>24.4</v>
      </c>
    </row>
    <row r="266" spans="1:9" x14ac:dyDescent="0.25">
      <c r="A266">
        <v>265</v>
      </c>
      <c r="B266" s="2">
        <v>46028.576388888891</v>
      </c>
      <c r="C266" t="s">
        <v>4</v>
      </c>
      <c r="D266" s="3">
        <v>9.9</v>
      </c>
      <c r="E266" s="3">
        <v>8.3000000000000007</v>
      </c>
      <c r="F266" s="4">
        <v>92</v>
      </c>
      <c r="G266" s="4">
        <v>1030</v>
      </c>
      <c r="H266" t="s">
        <v>5</v>
      </c>
      <c r="I266" s="3">
        <v>25.2</v>
      </c>
    </row>
    <row r="267" spans="1:9" x14ac:dyDescent="0.25">
      <c r="A267">
        <v>266</v>
      </c>
      <c r="B267" s="2">
        <v>46029.430555555547</v>
      </c>
      <c r="C267" t="s">
        <v>4</v>
      </c>
      <c r="D267" s="3">
        <v>10.5</v>
      </c>
      <c r="E267" s="3">
        <v>9.1999999999999993</v>
      </c>
      <c r="F267" s="4">
        <v>94</v>
      </c>
      <c r="G267" s="4">
        <v>1020</v>
      </c>
      <c r="H267" t="s">
        <v>7</v>
      </c>
      <c r="I267" s="3">
        <v>27.1</v>
      </c>
    </row>
    <row r="268" spans="1:9" x14ac:dyDescent="0.25">
      <c r="A268">
        <v>267</v>
      </c>
      <c r="B268" s="2">
        <v>46030.416666666657</v>
      </c>
      <c r="C268" t="s">
        <v>4</v>
      </c>
      <c r="D268" s="3">
        <v>8.8000000000000007</v>
      </c>
      <c r="E268" s="3">
        <v>7.8</v>
      </c>
      <c r="F268" s="4">
        <v>90</v>
      </c>
      <c r="G268" s="4">
        <v>1015</v>
      </c>
      <c r="H268" t="s">
        <v>12</v>
      </c>
      <c r="I268" s="3">
        <v>18.5</v>
      </c>
    </row>
    <row r="269" spans="1:9" x14ac:dyDescent="0.25">
      <c r="A269">
        <v>268</v>
      </c>
      <c r="B269" s="2">
        <v>46031.298611111109</v>
      </c>
      <c r="C269" t="s">
        <v>4</v>
      </c>
      <c r="D269" s="3">
        <v>13.9</v>
      </c>
      <c r="E269" s="3">
        <v>13.6</v>
      </c>
      <c r="F269" s="4">
        <v>96</v>
      </c>
      <c r="G269" s="4">
        <v>1010</v>
      </c>
      <c r="H269" t="s">
        <v>9</v>
      </c>
      <c r="I269" s="3">
        <v>19</v>
      </c>
    </row>
    <row r="270" spans="1:9" x14ac:dyDescent="0.25">
      <c r="A270">
        <v>269</v>
      </c>
      <c r="B270" s="2">
        <v>46032.652777777781</v>
      </c>
      <c r="C270" t="s">
        <v>4</v>
      </c>
      <c r="D270" s="3">
        <v>10.8</v>
      </c>
      <c r="E270" s="3">
        <v>9.9</v>
      </c>
      <c r="F270" s="4">
        <v>93</v>
      </c>
      <c r="G270" s="4">
        <v>1016</v>
      </c>
      <c r="H270" t="s">
        <v>10</v>
      </c>
      <c r="I270" s="3">
        <v>18.8</v>
      </c>
    </row>
    <row r="271" spans="1:9" x14ac:dyDescent="0.25">
      <c r="A271">
        <v>270</v>
      </c>
      <c r="B271" s="2">
        <v>46033.645833333343</v>
      </c>
      <c r="C271" t="s">
        <v>4</v>
      </c>
      <c r="D271" s="3">
        <v>13.2</v>
      </c>
      <c r="E271" s="3">
        <v>13.2</v>
      </c>
      <c r="F271" s="4">
        <v>92</v>
      </c>
      <c r="G271" s="4">
        <v>1021</v>
      </c>
      <c r="H271" t="s">
        <v>9</v>
      </c>
      <c r="I271" s="3">
        <v>19.399999999999999</v>
      </c>
    </row>
    <row r="272" spans="1:9" x14ac:dyDescent="0.25">
      <c r="A272">
        <v>271</v>
      </c>
      <c r="B272" s="2">
        <v>46034.395833333343</v>
      </c>
      <c r="C272" t="s">
        <v>4</v>
      </c>
      <c r="D272" s="3">
        <v>9.5</v>
      </c>
      <c r="E272" s="3">
        <v>7.9</v>
      </c>
      <c r="F272" s="4">
        <v>71</v>
      </c>
      <c r="G272" s="4">
        <v>1011</v>
      </c>
      <c r="H272" t="s">
        <v>11</v>
      </c>
      <c r="I272" s="3">
        <v>18.399999999999999</v>
      </c>
    </row>
    <row r="273" spans="1:9" x14ac:dyDescent="0.25">
      <c r="A273">
        <v>272</v>
      </c>
      <c r="B273" s="2">
        <v>46035.659722222219</v>
      </c>
      <c r="C273" t="s">
        <v>4</v>
      </c>
      <c r="D273" s="3">
        <v>12</v>
      </c>
      <c r="E273" s="3">
        <v>11</v>
      </c>
      <c r="F273" s="4">
        <v>75</v>
      </c>
      <c r="G273" s="4">
        <v>1030</v>
      </c>
      <c r="H273" t="s">
        <v>5</v>
      </c>
      <c r="I273" s="3">
        <v>33.9</v>
      </c>
    </row>
    <row r="274" spans="1:9" x14ac:dyDescent="0.25">
      <c r="A274">
        <v>273</v>
      </c>
      <c r="B274" s="2">
        <v>46036.763888888891</v>
      </c>
      <c r="C274" t="s">
        <v>4</v>
      </c>
      <c r="D274" s="3">
        <v>14.9</v>
      </c>
      <c r="E274" s="3">
        <v>14.2</v>
      </c>
      <c r="F274" s="4">
        <v>75</v>
      </c>
      <c r="G274" s="4">
        <v>1020</v>
      </c>
      <c r="H274" t="s">
        <v>5</v>
      </c>
      <c r="I274" s="3">
        <v>17.3</v>
      </c>
    </row>
    <row r="275" spans="1:9" x14ac:dyDescent="0.25">
      <c r="A275">
        <v>274</v>
      </c>
      <c r="B275" s="2">
        <v>46037.895833333343</v>
      </c>
      <c r="C275" t="s">
        <v>4</v>
      </c>
      <c r="D275" s="3">
        <v>14.3</v>
      </c>
      <c r="E275" s="3">
        <v>14.4</v>
      </c>
      <c r="F275" s="4">
        <v>75</v>
      </c>
      <c r="G275" s="4">
        <v>1012</v>
      </c>
      <c r="H275" t="s">
        <v>5</v>
      </c>
      <c r="I275" s="3">
        <v>24.8</v>
      </c>
    </row>
    <row r="276" spans="1:9" x14ac:dyDescent="0.25">
      <c r="A276">
        <v>275</v>
      </c>
      <c r="B276" s="2">
        <v>46038.361111111109</v>
      </c>
      <c r="C276" t="s">
        <v>4</v>
      </c>
      <c r="D276" s="3">
        <v>9.1</v>
      </c>
      <c r="E276" s="3">
        <v>7.1</v>
      </c>
      <c r="F276" s="4">
        <v>94</v>
      </c>
      <c r="G276" s="4">
        <v>1013</v>
      </c>
      <c r="H276" t="s">
        <v>10</v>
      </c>
      <c r="I276" s="3">
        <v>21.7</v>
      </c>
    </row>
    <row r="277" spans="1:9" x14ac:dyDescent="0.25">
      <c r="A277">
        <v>276</v>
      </c>
      <c r="B277" s="2">
        <v>46039.3125</v>
      </c>
      <c r="C277" t="s">
        <v>4</v>
      </c>
      <c r="D277" s="3">
        <v>9.6999999999999993</v>
      </c>
      <c r="E277" s="3">
        <v>8.4</v>
      </c>
      <c r="F277" s="4">
        <v>93</v>
      </c>
      <c r="G277" s="4">
        <v>1007</v>
      </c>
      <c r="H277" t="s">
        <v>10</v>
      </c>
      <c r="I277" s="3">
        <v>18.399999999999999</v>
      </c>
    </row>
    <row r="278" spans="1:9" x14ac:dyDescent="0.25">
      <c r="A278">
        <v>277</v>
      </c>
      <c r="B278" s="2">
        <v>46040.694444444453</v>
      </c>
      <c r="C278" t="s">
        <v>4</v>
      </c>
      <c r="D278" s="3">
        <v>13.1</v>
      </c>
      <c r="E278" s="3">
        <v>12.9</v>
      </c>
      <c r="F278" s="4">
        <v>69</v>
      </c>
      <c r="G278" s="4">
        <v>1019</v>
      </c>
      <c r="H278" t="s">
        <v>5</v>
      </c>
      <c r="I278" s="3">
        <v>18.3</v>
      </c>
    </row>
    <row r="279" spans="1:9" x14ac:dyDescent="0.25">
      <c r="A279">
        <v>278</v>
      </c>
      <c r="B279" s="2">
        <v>46041.583333333343</v>
      </c>
      <c r="C279" t="s">
        <v>4</v>
      </c>
      <c r="D279" s="3">
        <v>9.4</v>
      </c>
      <c r="E279" s="3">
        <v>8.6</v>
      </c>
      <c r="F279" s="4">
        <v>99</v>
      </c>
      <c r="G279" s="4">
        <v>1010</v>
      </c>
      <c r="H279" t="s">
        <v>6</v>
      </c>
      <c r="I279" s="3">
        <v>25.4</v>
      </c>
    </row>
    <row r="280" spans="1:9" x14ac:dyDescent="0.25">
      <c r="A280">
        <v>279</v>
      </c>
      <c r="B280" s="2">
        <v>46042.340277777781</v>
      </c>
      <c r="C280" t="s">
        <v>4</v>
      </c>
      <c r="D280" s="3">
        <v>12.7</v>
      </c>
      <c r="E280" s="3">
        <v>13.7</v>
      </c>
      <c r="F280" s="4">
        <v>67</v>
      </c>
      <c r="G280" s="4">
        <v>1020</v>
      </c>
      <c r="H280" t="s">
        <v>5</v>
      </c>
      <c r="I280" s="3">
        <v>26.9</v>
      </c>
    </row>
    <row r="281" spans="1:9" x14ac:dyDescent="0.25">
      <c r="A281">
        <v>280</v>
      </c>
      <c r="B281" s="2">
        <v>46043.284722222219</v>
      </c>
      <c r="C281" t="s">
        <v>4</v>
      </c>
      <c r="D281" s="3">
        <v>9</v>
      </c>
      <c r="E281" s="3">
        <v>8.6</v>
      </c>
      <c r="F281" s="4">
        <v>82</v>
      </c>
      <c r="G281" s="4">
        <v>1011</v>
      </c>
      <c r="H281" t="s">
        <v>10</v>
      </c>
      <c r="I281" s="3">
        <v>18.100000000000001</v>
      </c>
    </row>
    <row r="282" spans="1:9" x14ac:dyDescent="0.25">
      <c r="A282">
        <v>281</v>
      </c>
      <c r="B282" s="2">
        <v>46044.611111111109</v>
      </c>
      <c r="C282" t="s">
        <v>4</v>
      </c>
      <c r="D282" s="3">
        <v>13.9</v>
      </c>
      <c r="E282" s="3">
        <v>14</v>
      </c>
      <c r="F282" s="4">
        <v>59</v>
      </c>
      <c r="G282" s="4">
        <v>1019</v>
      </c>
      <c r="H282" t="s">
        <v>5</v>
      </c>
      <c r="I282" s="3">
        <v>21.7</v>
      </c>
    </row>
    <row r="283" spans="1:9" x14ac:dyDescent="0.25">
      <c r="A283">
        <v>282</v>
      </c>
      <c r="B283" s="2">
        <v>46045.298611111109</v>
      </c>
      <c r="C283" t="s">
        <v>4</v>
      </c>
      <c r="D283" s="3">
        <v>6.9</v>
      </c>
      <c r="E283" s="3">
        <v>4.5</v>
      </c>
      <c r="F283" s="4">
        <v>99</v>
      </c>
      <c r="G283" s="4">
        <v>1017</v>
      </c>
      <c r="H283" t="s">
        <v>6</v>
      </c>
      <c r="I283" s="3">
        <v>26.7</v>
      </c>
    </row>
    <row r="284" spans="1:9" x14ac:dyDescent="0.25">
      <c r="A284">
        <v>283</v>
      </c>
      <c r="B284" s="2">
        <v>46046.902777777781</v>
      </c>
      <c r="C284" t="s">
        <v>4</v>
      </c>
      <c r="D284" s="3">
        <v>12.9</v>
      </c>
      <c r="E284" s="3">
        <v>13.2</v>
      </c>
      <c r="F284" s="4">
        <v>74</v>
      </c>
      <c r="G284" s="4">
        <v>1009</v>
      </c>
      <c r="H284" t="s">
        <v>11</v>
      </c>
      <c r="I284" s="3">
        <v>24.8</v>
      </c>
    </row>
    <row r="285" spans="1:9" x14ac:dyDescent="0.25">
      <c r="A285">
        <v>284</v>
      </c>
      <c r="B285" s="2">
        <v>46047.847222222219</v>
      </c>
      <c r="C285" t="s">
        <v>4</v>
      </c>
      <c r="D285" s="3">
        <v>15.2</v>
      </c>
      <c r="E285" s="3">
        <v>14.5</v>
      </c>
      <c r="F285" s="4">
        <v>73</v>
      </c>
      <c r="G285" s="4">
        <v>1019</v>
      </c>
      <c r="H285" t="s">
        <v>12</v>
      </c>
      <c r="I285" s="3">
        <v>22.7</v>
      </c>
    </row>
    <row r="286" spans="1:9" x14ac:dyDescent="0.25">
      <c r="A286">
        <v>285</v>
      </c>
      <c r="B286" s="2">
        <v>46048.486111111109</v>
      </c>
      <c r="C286" t="s">
        <v>4</v>
      </c>
      <c r="D286" s="3">
        <v>9</v>
      </c>
      <c r="E286" s="3">
        <v>7.1</v>
      </c>
      <c r="F286" s="4">
        <v>80</v>
      </c>
      <c r="G286" s="4">
        <v>1019</v>
      </c>
      <c r="H286" t="s">
        <v>11</v>
      </c>
      <c r="I286" s="3">
        <v>20.6</v>
      </c>
    </row>
    <row r="287" spans="1:9" x14ac:dyDescent="0.25">
      <c r="A287">
        <v>286</v>
      </c>
      <c r="B287" s="2">
        <v>46049.826388888891</v>
      </c>
      <c r="C287" t="s">
        <v>4</v>
      </c>
      <c r="D287" s="3">
        <v>14.5</v>
      </c>
      <c r="E287" s="3">
        <v>15.6</v>
      </c>
      <c r="F287" s="4">
        <v>96</v>
      </c>
      <c r="G287" s="4">
        <v>1019</v>
      </c>
      <c r="H287" t="s">
        <v>14</v>
      </c>
      <c r="I287" s="3">
        <v>17</v>
      </c>
    </row>
    <row r="288" spans="1:9" x14ac:dyDescent="0.25">
      <c r="A288">
        <v>287</v>
      </c>
      <c r="B288" s="2">
        <v>46050.875</v>
      </c>
      <c r="C288" t="s">
        <v>4</v>
      </c>
      <c r="D288" s="3">
        <v>12</v>
      </c>
      <c r="E288" s="3">
        <v>12.2</v>
      </c>
      <c r="F288" s="4">
        <v>86</v>
      </c>
      <c r="G288" s="4">
        <v>1020</v>
      </c>
      <c r="H288" t="s">
        <v>11</v>
      </c>
      <c r="I288" s="3">
        <v>18.399999999999999</v>
      </c>
    </row>
    <row r="289" spans="1:9" x14ac:dyDescent="0.25">
      <c r="A289">
        <v>288</v>
      </c>
      <c r="B289" s="2">
        <v>46051.888888888891</v>
      </c>
      <c r="C289" t="s">
        <v>4</v>
      </c>
      <c r="D289" s="3">
        <v>14</v>
      </c>
      <c r="E289" s="3">
        <v>14.6</v>
      </c>
      <c r="F289" s="4">
        <v>81</v>
      </c>
      <c r="G289" s="4">
        <v>1023</v>
      </c>
      <c r="H289" t="s">
        <v>9</v>
      </c>
      <c r="I289" s="3">
        <v>22.7</v>
      </c>
    </row>
    <row r="290" spans="1:9" x14ac:dyDescent="0.25">
      <c r="A290">
        <v>289</v>
      </c>
      <c r="B290" s="2">
        <v>46052.805555555547</v>
      </c>
      <c r="C290" t="s">
        <v>4</v>
      </c>
      <c r="D290" s="3">
        <v>14.9</v>
      </c>
      <c r="E290" s="3">
        <v>14.3</v>
      </c>
      <c r="F290" s="4">
        <v>75</v>
      </c>
      <c r="G290" s="4">
        <v>1015</v>
      </c>
      <c r="H290" t="s">
        <v>5</v>
      </c>
      <c r="I290" s="3">
        <v>20.5</v>
      </c>
    </row>
    <row r="291" spans="1:9" x14ac:dyDescent="0.25">
      <c r="A291">
        <v>290</v>
      </c>
      <c r="B291" s="2">
        <v>46053.701388888891</v>
      </c>
      <c r="C291" t="s">
        <v>4</v>
      </c>
      <c r="D291" s="3">
        <v>11</v>
      </c>
      <c r="E291" s="3">
        <v>9.1999999999999993</v>
      </c>
      <c r="F291" s="4">
        <v>81</v>
      </c>
      <c r="G291" s="4">
        <v>1020</v>
      </c>
      <c r="H291" t="s">
        <v>11</v>
      </c>
      <c r="I291" s="3">
        <v>20.7</v>
      </c>
    </row>
    <row r="292" spans="1:9" x14ac:dyDescent="0.25">
      <c r="A292">
        <v>291</v>
      </c>
      <c r="B292" s="2">
        <v>46054.381944444453</v>
      </c>
      <c r="C292" t="s">
        <v>4</v>
      </c>
      <c r="D292" s="3">
        <v>10.4</v>
      </c>
      <c r="E292" s="3">
        <v>9.4</v>
      </c>
      <c r="F292" s="4">
        <v>99</v>
      </c>
      <c r="G292" s="4">
        <v>1016</v>
      </c>
      <c r="H292" t="s">
        <v>14</v>
      </c>
      <c r="I292" s="3">
        <v>18.899999999999999</v>
      </c>
    </row>
    <row r="293" spans="1:9" x14ac:dyDescent="0.25">
      <c r="A293">
        <v>292</v>
      </c>
      <c r="B293" s="2">
        <v>46055.6875</v>
      </c>
      <c r="C293" t="s">
        <v>4</v>
      </c>
      <c r="D293" s="3">
        <v>12.2</v>
      </c>
      <c r="E293" s="3">
        <v>13</v>
      </c>
      <c r="F293" s="4">
        <v>76</v>
      </c>
      <c r="G293" s="4">
        <v>1019</v>
      </c>
      <c r="H293" t="s">
        <v>7</v>
      </c>
      <c r="I293" s="3">
        <v>17.2</v>
      </c>
    </row>
    <row r="294" spans="1:9" x14ac:dyDescent="0.25">
      <c r="A294">
        <v>293</v>
      </c>
      <c r="B294" s="2">
        <v>46056.888888888891</v>
      </c>
      <c r="C294" t="s">
        <v>4</v>
      </c>
      <c r="D294" s="3">
        <v>12.3</v>
      </c>
      <c r="E294" s="3">
        <v>11.9</v>
      </c>
      <c r="F294" s="4">
        <v>86</v>
      </c>
      <c r="G294" s="4">
        <v>1016</v>
      </c>
      <c r="H294" t="s">
        <v>5</v>
      </c>
      <c r="I294" s="3">
        <v>17.7</v>
      </c>
    </row>
    <row r="295" spans="1:9" x14ac:dyDescent="0.25">
      <c r="A295">
        <v>294</v>
      </c>
      <c r="B295" s="2">
        <v>46057.777777777781</v>
      </c>
      <c r="C295" t="s">
        <v>4</v>
      </c>
      <c r="D295" s="3">
        <v>12.5</v>
      </c>
      <c r="E295" s="3">
        <v>12</v>
      </c>
      <c r="F295" s="4">
        <v>74</v>
      </c>
      <c r="G295" s="4">
        <v>1016</v>
      </c>
      <c r="H295" t="s">
        <v>7</v>
      </c>
      <c r="I295" s="3">
        <v>16.399999999999999</v>
      </c>
    </row>
    <row r="296" spans="1:9" x14ac:dyDescent="0.25">
      <c r="A296">
        <v>295</v>
      </c>
      <c r="B296" s="2">
        <v>46058.3125</v>
      </c>
      <c r="C296" t="s">
        <v>4</v>
      </c>
      <c r="D296" s="3">
        <v>9.6</v>
      </c>
      <c r="E296" s="3">
        <v>7.7</v>
      </c>
      <c r="F296" s="4">
        <v>73</v>
      </c>
      <c r="G296" s="4">
        <v>1026</v>
      </c>
      <c r="H296" t="s">
        <v>11</v>
      </c>
      <c r="I296" s="3">
        <v>24.3</v>
      </c>
    </row>
    <row r="297" spans="1:9" x14ac:dyDescent="0.25">
      <c r="A297">
        <v>296</v>
      </c>
      <c r="B297" s="2">
        <v>46059.347222222219</v>
      </c>
      <c r="C297" t="s">
        <v>4</v>
      </c>
      <c r="D297" s="3">
        <v>10.1</v>
      </c>
      <c r="E297" s="3">
        <v>8.1999999999999993</v>
      </c>
      <c r="F297" s="4">
        <v>73</v>
      </c>
      <c r="G297" s="4">
        <v>1023</v>
      </c>
      <c r="H297" t="s">
        <v>5</v>
      </c>
      <c r="I297" s="3">
        <v>19.5</v>
      </c>
    </row>
    <row r="298" spans="1:9" x14ac:dyDescent="0.25">
      <c r="A298">
        <v>297</v>
      </c>
      <c r="B298" s="2">
        <v>46060.597222222219</v>
      </c>
      <c r="C298" t="s">
        <v>4</v>
      </c>
      <c r="D298" s="3">
        <v>11.8</v>
      </c>
      <c r="E298" s="3">
        <v>10.7</v>
      </c>
      <c r="F298" s="4">
        <v>61</v>
      </c>
      <c r="G298" s="4">
        <v>1023</v>
      </c>
      <c r="H298" t="s">
        <v>5</v>
      </c>
      <c r="I298" s="3">
        <v>25.9</v>
      </c>
    </row>
    <row r="299" spans="1:9" x14ac:dyDescent="0.25">
      <c r="A299">
        <v>298</v>
      </c>
      <c r="B299" s="2">
        <v>46061.395833333343</v>
      </c>
      <c r="C299" t="s">
        <v>4</v>
      </c>
      <c r="D299" s="3">
        <v>8.1999999999999993</v>
      </c>
      <c r="E299" s="3">
        <v>7.1</v>
      </c>
      <c r="F299" s="4">
        <v>89</v>
      </c>
      <c r="G299" s="4">
        <v>1016</v>
      </c>
      <c r="H299" t="s">
        <v>10</v>
      </c>
      <c r="I299" s="3">
        <v>19.7</v>
      </c>
    </row>
    <row r="300" spans="1:9" x14ac:dyDescent="0.25">
      <c r="A300">
        <v>299</v>
      </c>
      <c r="B300" s="2">
        <v>46062.284722222219</v>
      </c>
      <c r="C300" t="s">
        <v>4</v>
      </c>
      <c r="D300" s="3">
        <v>8.5</v>
      </c>
      <c r="E300" s="3">
        <v>7.5</v>
      </c>
      <c r="F300" s="4">
        <v>90</v>
      </c>
      <c r="G300" s="4">
        <v>1024</v>
      </c>
      <c r="H300" t="s">
        <v>7</v>
      </c>
      <c r="I300" s="3">
        <v>24.5</v>
      </c>
    </row>
    <row r="301" spans="1:9" x14ac:dyDescent="0.25">
      <c r="A301">
        <v>300</v>
      </c>
      <c r="B301" s="2">
        <v>46063.854166666657</v>
      </c>
      <c r="C301" t="s">
        <v>4</v>
      </c>
      <c r="D301" s="3">
        <v>11.6</v>
      </c>
      <c r="E301" s="3">
        <v>9.6</v>
      </c>
      <c r="F301" s="4">
        <v>99</v>
      </c>
      <c r="G301" s="4">
        <v>1009</v>
      </c>
      <c r="H301" t="s">
        <v>6</v>
      </c>
      <c r="I301" s="3">
        <v>21.8</v>
      </c>
    </row>
    <row r="302" spans="1:9" x14ac:dyDescent="0.25">
      <c r="A302">
        <v>301</v>
      </c>
      <c r="B302" s="2">
        <v>46064.298611111109</v>
      </c>
      <c r="C302" t="s">
        <v>4</v>
      </c>
      <c r="D302" s="3">
        <v>12.5</v>
      </c>
      <c r="E302" s="3">
        <v>11.9</v>
      </c>
      <c r="F302" s="4">
        <v>78</v>
      </c>
      <c r="G302" s="4">
        <v>1013</v>
      </c>
      <c r="H302" t="s">
        <v>5</v>
      </c>
      <c r="I302" s="3">
        <v>20.7</v>
      </c>
    </row>
    <row r="303" spans="1:9" x14ac:dyDescent="0.25">
      <c r="A303">
        <v>302</v>
      </c>
      <c r="B303" s="2">
        <v>46065.736111111109</v>
      </c>
      <c r="C303" t="s">
        <v>4</v>
      </c>
      <c r="D303" s="3">
        <v>12.3</v>
      </c>
      <c r="E303" s="3">
        <v>12</v>
      </c>
      <c r="F303" s="4">
        <v>81</v>
      </c>
      <c r="G303" s="4">
        <v>1014</v>
      </c>
      <c r="H303" t="s">
        <v>7</v>
      </c>
      <c r="I303" s="3">
        <v>18.899999999999999</v>
      </c>
    </row>
    <row r="304" spans="1:9" x14ac:dyDescent="0.25">
      <c r="A304">
        <v>303</v>
      </c>
      <c r="B304" s="2">
        <v>46066.909722222219</v>
      </c>
      <c r="C304" t="s">
        <v>4</v>
      </c>
      <c r="D304" s="3">
        <v>14.2</v>
      </c>
      <c r="E304" s="3">
        <v>15.3</v>
      </c>
      <c r="F304" s="4">
        <v>79</v>
      </c>
      <c r="G304" s="4">
        <v>1011</v>
      </c>
      <c r="H304" t="s">
        <v>13</v>
      </c>
      <c r="I304" s="3">
        <v>27.6</v>
      </c>
    </row>
    <row r="305" spans="1:9" x14ac:dyDescent="0.25">
      <c r="A305">
        <v>304</v>
      </c>
      <c r="B305" s="2">
        <v>46067.833333333343</v>
      </c>
      <c r="C305" t="s">
        <v>4</v>
      </c>
      <c r="D305" s="3">
        <v>16.100000000000001</v>
      </c>
      <c r="E305" s="3">
        <v>16</v>
      </c>
      <c r="F305" s="4">
        <v>87</v>
      </c>
      <c r="G305" s="4">
        <v>1016</v>
      </c>
      <c r="H305" t="s">
        <v>12</v>
      </c>
      <c r="I305" s="3">
        <v>16.8</v>
      </c>
    </row>
    <row r="306" spans="1:9" x14ac:dyDescent="0.25">
      <c r="A306">
        <v>305</v>
      </c>
      <c r="B306" s="2">
        <v>46068.513888888891</v>
      </c>
      <c r="C306" t="s">
        <v>4</v>
      </c>
      <c r="D306" s="3">
        <v>8.9</v>
      </c>
      <c r="E306" s="3">
        <v>8</v>
      </c>
      <c r="F306" s="4">
        <v>85</v>
      </c>
      <c r="G306" s="4">
        <v>1020</v>
      </c>
      <c r="H306" t="s">
        <v>5</v>
      </c>
      <c r="I306" s="3">
        <v>19.8</v>
      </c>
    </row>
    <row r="307" spans="1:9" x14ac:dyDescent="0.25">
      <c r="A307">
        <v>306</v>
      </c>
      <c r="B307" s="2">
        <v>46069.430555555547</v>
      </c>
      <c r="C307" t="s">
        <v>4</v>
      </c>
      <c r="D307" s="3">
        <v>9.1999999999999993</v>
      </c>
      <c r="E307" s="3">
        <v>8.6999999999999993</v>
      </c>
      <c r="F307" s="4">
        <v>86</v>
      </c>
      <c r="G307" s="4">
        <v>1020</v>
      </c>
      <c r="H307" t="s">
        <v>8</v>
      </c>
      <c r="I307" s="3">
        <v>19.100000000000001</v>
      </c>
    </row>
    <row r="308" spans="1:9" x14ac:dyDescent="0.25">
      <c r="A308">
        <v>307</v>
      </c>
      <c r="B308" s="2">
        <v>46070.868055555547</v>
      </c>
      <c r="C308" t="s">
        <v>4</v>
      </c>
      <c r="D308" s="3">
        <v>14.5</v>
      </c>
      <c r="E308" s="3">
        <v>14.4</v>
      </c>
      <c r="F308" s="4">
        <v>70</v>
      </c>
      <c r="G308" s="4">
        <v>1018</v>
      </c>
      <c r="H308" t="s">
        <v>5</v>
      </c>
      <c r="I308" s="3">
        <v>20</v>
      </c>
    </row>
    <row r="309" spans="1:9" x14ac:dyDescent="0.25">
      <c r="A309">
        <v>308</v>
      </c>
      <c r="B309" s="2">
        <v>46072.875</v>
      </c>
      <c r="C309" t="s">
        <v>4</v>
      </c>
      <c r="D309" s="3">
        <v>16.5</v>
      </c>
      <c r="E309" s="3">
        <v>16.5</v>
      </c>
      <c r="F309" s="4">
        <v>76</v>
      </c>
      <c r="G309" s="4">
        <v>1020</v>
      </c>
      <c r="H309" t="s">
        <v>5</v>
      </c>
      <c r="I309" s="3">
        <v>23.5</v>
      </c>
    </row>
    <row r="310" spans="1:9" x14ac:dyDescent="0.25">
      <c r="A310">
        <v>309</v>
      </c>
      <c r="B310" s="2">
        <v>46073.284722222219</v>
      </c>
      <c r="C310" t="s">
        <v>4</v>
      </c>
      <c r="D310" s="3">
        <v>9.8000000000000007</v>
      </c>
      <c r="E310" s="3">
        <v>9.1</v>
      </c>
      <c r="F310" s="4">
        <v>88</v>
      </c>
      <c r="G310" s="4">
        <v>1024</v>
      </c>
      <c r="H310" t="s">
        <v>12</v>
      </c>
      <c r="I310" s="3">
        <v>24.8</v>
      </c>
    </row>
    <row r="311" spans="1:9" x14ac:dyDescent="0.25">
      <c r="A311">
        <v>310</v>
      </c>
      <c r="B311" s="2">
        <v>46074.576388888891</v>
      </c>
      <c r="C311" t="s">
        <v>4</v>
      </c>
      <c r="D311" s="3">
        <v>11.5</v>
      </c>
      <c r="E311" s="3">
        <v>11.9</v>
      </c>
      <c r="F311" s="4">
        <v>98</v>
      </c>
      <c r="G311" s="4">
        <v>1017</v>
      </c>
      <c r="H311" t="s">
        <v>14</v>
      </c>
      <c r="I311" s="3">
        <v>14.9</v>
      </c>
    </row>
    <row r="312" spans="1:9" x14ac:dyDescent="0.25">
      <c r="A312">
        <v>311</v>
      </c>
      <c r="B312" s="2">
        <v>46075.472222222219</v>
      </c>
      <c r="C312" t="s">
        <v>4</v>
      </c>
      <c r="D312" s="3">
        <v>12.2</v>
      </c>
      <c r="E312" s="3">
        <v>11.6</v>
      </c>
      <c r="F312" s="4">
        <v>67</v>
      </c>
      <c r="G312" s="4">
        <v>1014</v>
      </c>
      <c r="H312" t="s">
        <v>11</v>
      </c>
      <c r="I312" s="3">
        <v>19.7</v>
      </c>
    </row>
    <row r="313" spans="1:9" x14ac:dyDescent="0.25">
      <c r="A313">
        <v>312</v>
      </c>
      <c r="B313" s="2">
        <v>46076.277777777781</v>
      </c>
      <c r="C313" t="s">
        <v>4</v>
      </c>
      <c r="D313" s="3">
        <v>11.9</v>
      </c>
      <c r="E313" s="3">
        <v>10.8</v>
      </c>
      <c r="F313" s="4">
        <v>89</v>
      </c>
      <c r="G313" s="4">
        <v>1022</v>
      </c>
      <c r="H313" t="s">
        <v>7</v>
      </c>
      <c r="I313" s="3">
        <v>22</v>
      </c>
    </row>
    <row r="314" spans="1:9" x14ac:dyDescent="0.25">
      <c r="A314">
        <v>313</v>
      </c>
      <c r="B314" s="2">
        <v>46077.791666666657</v>
      </c>
      <c r="C314" t="s">
        <v>4</v>
      </c>
      <c r="D314" s="3">
        <v>13.8</v>
      </c>
      <c r="E314" s="3">
        <v>13.3</v>
      </c>
      <c r="F314" s="4">
        <v>81</v>
      </c>
      <c r="G314" s="4">
        <v>1011</v>
      </c>
      <c r="H314" t="s">
        <v>5</v>
      </c>
      <c r="I314" s="3">
        <v>19.7</v>
      </c>
    </row>
    <row r="315" spans="1:9" x14ac:dyDescent="0.25">
      <c r="A315">
        <v>314</v>
      </c>
      <c r="B315" s="2">
        <v>46079.541666666657</v>
      </c>
      <c r="C315" t="s">
        <v>4</v>
      </c>
      <c r="D315" s="3">
        <v>13.7</v>
      </c>
      <c r="E315" s="3">
        <v>13.4</v>
      </c>
      <c r="F315" s="4">
        <v>91</v>
      </c>
      <c r="G315" s="4">
        <v>1014</v>
      </c>
      <c r="H315" t="s">
        <v>5</v>
      </c>
      <c r="I315" s="3">
        <v>22.4</v>
      </c>
    </row>
    <row r="316" spans="1:9" x14ac:dyDescent="0.25">
      <c r="A316">
        <v>315</v>
      </c>
      <c r="B316" s="2">
        <v>46080.833333333343</v>
      </c>
      <c r="C316" t="s">
        <v>4</v>
      </c>
      <c r="D316" s="3">
        <v>13.5</v>
      </c>
      <c r="E316" s="3">
        <v>13.6</v>
      </c>
      <c r="F316" s="4">
        <v>71</v>
      </c>
      <c r="G316" s="4">
        <v>1015</v>
      </c>
      <c r="H316" t="s">
        <v>5</v>
      </c>
      <c r="I316" s="3">
        <v>18.7</v>
      </c>
    </row>
    <row r="317" spans="1:9" x14ac:dyDescent="0.25">
      <c r="A317">
        <v>316</v>
      </c>
      <c r="B317" s="2">
        <v>46081.4375</v>
      </c>
      <c r="C317" t="s">
        <v>4</v>
      </c>
      <c r="D317" s="3">
        <v>11.3</v>
      </c>
      <c r="E317" s="3">
        <v>10.7</v>
      </c>
      <c r="F317" s="4">
        <v>78</v>
      </c>
      <c r="G317" s="4">
        <v>1022</v>
      </c>
      <c r="H317" t="s">
        <v>11</v>
      </c>
      <c r="I317" s="3">
        <v>19.2</v>
      </c>
    </row>
    <row r="318" spans="1:9" x14ac:dyDescent="0.25">
      <c r="A318">
        <v>317</v>
      </c>
      <c r="B318" s="2">
        <v>46082.652777777781</v>
      </c>
      <c r="C318" t="s">
        <v>4</v>
      </c>
      <c r="D318" s="3">
        <v>11.2</v>
      </c>
      <c r="E318" s="3">
        <v>10.7</v>
      </c>
      <c r="F318" s="4">
        <v>76</v>
      </c>
      <c r="G318" s="4">
        <v>1014</v>
      </c>
      <c r="H318" t="s">
        <v>9</v>
      </c>
      <c r="I318" s="3">
        <v>15.9</v>
      </c>
    </row>
    <row r="319" spans="1:9" x14ac:dyDescent="0.25">
      <c r="A319">
        <v>318</v>
      </c>
      <c r="B319" s="2">
        <v>46083.604166666657</v>
      </c>
      <c r="C319" t="s">
        <v>4</v>
      </c>
      <c r="D319" s="3">
        <v>8.3000000000000007</v>
      </c>
      <c r="E319" s="3">
        <v>7.2</v>
      </c>
      <c r="F319" s="4">
        <v>70</v>
      </c>
      <c r="G319" s="4">
        <v>1013</v>
      </c>
      <c r="H319" t="s">
        <v>5</v>
      </c>
      <c r="I319" s="3">
        <v>18.2</v>
      </c>
    </row>
    <row r="320" spans="1:9" x14ac:dyDescent="0.25">
      <c r="A320">
        <v>319</v>
      </c>
      <c r="B320" s="2">
        <v>46084.895833333343</v>
      </c>
      <c r="C320" t="s">
        <v>4</v>
      </c>
      <c r="D320" s="3">
        <v>13.8</v>
      </c>
      <c r="E320" s="3">
        <v>12.9</v>
      </c>
      <c r="F320" s="4">
        <v>79</v>
      </c>
      <c r="G320" s="4">
        <v>1014</v>
      </c>
      <c r="H320" t="s">
        <v>13</v>
      </c>
      <c r="I320" s="3">
        <v>31.9</v>
      </c>
    </row>
    <row r="321" spans="1:9" x14ac:dyDescent="0.25">
      <c r="A321">
        <v>320</v>
      </c>
      <c r="B321" s="2">
        <v>46085.5625</v>
      </c>
      <c r="C321" t="s">
        <v>4</v>
      </c>
      <c r="D321" s="3">
        <v>13.2</v>
      </c>
      <c r="E321" s="3">
        <v>13.5</v>
      </c>
      <c r="F321" s="4">
        <v>71</v>
      </c>
      <c r="G321" s="4">
        <v>1020</v>
      </c>
      <c r="H321" t="s">
        <v>5</v>
      </c>
      <c r="I321" s="3">
        <v>23.6</v>
      </c>
    </row>
    <row r="322" spans="1:9" x14ac:dyDescent="0.25">
      <c r="A322">
        <v>321</v>
      </c>
      <c r="B322" s="2">
        <v>46086.4375</v>
      </c>
      <c r="C322" t="s">
        <v>4</v>
      </c>
      <c r="D322" s="3">
        <v>11.9</v>
      </c>
      <c r="E322" s="3">
        <v>10.7</v>
      </c>
      <c r="F322" s="4">
        <v>69</v>
      </c>
      <c r="G322" s="4">
        <v>1021</v>
      </c>
      <c r="H322" t="s">
        <v>9</v>
      </c>
      <c r="I322" s="3">
        <v>23.4</v>
      </c>
    </row>
    <row r="323" spans="1:9" x14ac:dyDescent="0.25">
      <c r="A323">
        <v>322</v>
      </c>
      <c r="B323" s="2">
        <v>46087.527777777781</v>
      </c>
      <c r="C323" t="s">
        <v>4</v>
      </c>
      <c r="D323" s="3">
        <v>14.6</v>
      </c>
      <c r="E323" s="3">
        <v>15.3</v>
      </c>
      <c r="F323" s="4">
        <v>90</v>
      </c>
      <c r="G323" s="4">
        <v>1020</v>
      </c>
      <c r="H323" t="s">
        <v>5</v>
      </c>
      <c r="I323" s="3">
        <v>22</v>
      </c>
    </row>
    <row r="324" spans="1:9" x14ac:dyDescent="0.25">
      <c r="A324">
        <v>323</v>
      </c>
      <c r="B324" s="2">
        <v>46088.416666666657</v>
      </c>
      <c r="C324" t="s">
        <v>4</v>
      </c>
      <c r="D324" s="3">
        <v>12.8</v>
      </c>
      <c r="E324" s="3">
        <v>12.4</v>
      </c>
      <c r="F324" s="4">
        <v>98</v>
      </c>
      <c r="G324" s="4">
        <v>1016</v>
      </c>
      <c r="H324" t="s">
        <v>8</v>
      </c>
      <c r="I324" s="3">
        <v>17</v>
      </c>
    </row>
    <row r="325" spans="1:9" x14ac:dyDescent="0.25">
      <c r="A325">
        <v>324</v>
      </c>
      <c r="B325" s="2">
        <v>46089.604166666657</v>
      </c>
      <c r="C325" t="s">
        <v>4</v>
      </c>
      <c r="D325" s="3">
        <v>13.7</v>
      </c>
      <c r="E325" s="3">
        <v>14</v>
      </c>
      <c r="F325" s="4">
        <v>96</v>
      </c>
      <c r="G325" s="4">
        <v>1017</v>
      </c>
      <c r="H325" t="s">
        <v>7</v>
      </c>
      <c r="I325" s="3">
        <v>17.5</v>
      </c>
    </row>
    <row r="326" spans="1:9" x14ac:dyDescent="0.25">
      <c r="A326">
        <v>325</v>
      </c>
      <c r="B326" s="2">
        <v>46091.694444444453</v>
      </c>
      <c r="C326" t="s">
        <v>4</v>
      </c>
      <c r="D326" s="3">
        <v>14.6</v>
      </c>
      <c r="E326" s="3">
        <v>15.2</v>
      </c>
      <c r="F326" s="4">
        <v>83</v>
      </c>
      <c r="G326" s="4">
        <v>1021</v>
      </c>
      <c r="H326" t="s">
        <v>11</v>
      </c>
      <c r="I326" s="3">
        <v>25.4</v>
      </c>
    </row>
    <row r="327" spans="1:9" x14ac:dyDescent="0.25">
      <c r="A327">
        <v>326</v>
      </c>
      <c r="B327" s="2">
        <v>46092.583333333343</v>
      </c>
      <c r="C327" t="s">
        <v>4</v>
      </c>
      <c r="D327" s="3">
        <v>12.7</v>
      </c>
      <c r="E327" s="3">
        <v>11.7</v>
      </c>
      <c r="F327" s="4">
        <v>59</v>
      </c>
      <c r="G327" s="4">
        <v>1017</v>
      </c>
      <c r="H327" t="s">
        <v>5</v>
      </c>
      <c r="I327" s="3">
        <v>17.100000000000001</v>
      </c>
    </row>
    <row r="328" spans="1:9" x14ac:dyDescent="0.25">
      <c r="A328">
        <v>327</v>
      </c>
      <c r="B328" s="2">
        <v>46093.659722222219</v>
      </c>
      <c r="C328" t="s">
        <v>4</v>
      </c>
      <c r="D328" s="3">
        <v>17</v>
      </c>
      <c r="E328" s="3">
        <v>17.8</v>
      </c>
      <c r="F328" s="4">
        <v>74</v>
      </c>
      <c r="G328" s="4">
        <v>1019</v>
      </c>
      <c r="H328" t="s">
        <v>5</v>
      </c>
      <c r="I328" s="3">
        <v>24.3</v>
      </c>
    </row>
    <row r="329" spans="1:9" x14ac:dyDescent="0.25">
      <c r="A329">
        <v>328</v>
      </c>
      <c r="B329" s="2">
        <v>46094.652777777781</v>
      </c>
      <c r="C329" t="s">
        <v>4</v>
      </c>
      <c r="D329" s="3">
        <v>12.2</v>
      </c>
      <c r="E329" s="3">
        <v>11.1</v>
      </c>
      <c r="F329" s="4">
        <v>90</v>
      </c>
      <c r="G329" s="4">
        <v>1014</v>
      </c>
      <c r="H329" t="s">
        <v>10</v>
      </c>
      <c r="I329" s="3">
        <v>21.8</v>
      </c>
    </row>
    <row r="330" spans="1:9" x14ac:dyDescent="0.25">
      <c r="A330">
        <v>329</v>
      </c>
      <c r="B330" s="2">
        <v>46095.881944444453</v>
      </c>
      <c r="C330" t="s">
        <v>4</v>
      </c>
      <c r="D330" s="3">
        <v>13.8</v>
      </c>
      <c r="E330" s="3">
        <v>14.3</v>
      </c>
      <c r="F330" s="4">
        <v>73</v>
      </c>
      <c r="G330" s="4">
        <v>1024</v>
      </c>
      <c r="H330" t="s">
        <v>10</v>
      </c>
      <c r="I330" s="3">
        <v>27.2</v>
      </c>
    </row>
    <row r="331" spans="1:9" x14ac:dyDescent="0.25">
      <c r="A331">
        <v>330</v>
      </c>
      <c r="B331" s="2">
        <v>46096.861111111109</v>
      </c>
      <c r="C331" t="s">
        <v>4</v>
      </c>
      <c r="D331" s="3">
        <v>17.3</v>
      </c>
      <c r="E331" s="3">
        <v>16.5</v>
      </c>
      <c r="F331" s="4">
        <v>93</v>
      </c>
      <c r="G331" s="4">
        <v>1022</v>
      </c>
      <c r="H331" t="s">
        <v>10</v>
      </c>
      <c r="I331" s="3">
        <v>29.6</v>
      </c>
    </row>
    <row r="332" spans="1:9" x14ac:dyDescent="0.25">
      <c r="A332">
        <v>331</v>
      </c>
      <c r="B332" s="2">
        <v>46097.888888888891</v>
      </c>
      <c r="C332" t="s">
        <v>4</v>
      </c>
      <c r="D332" s="3">
        <v>15.6</v>
      </c>
      <c r="E332" s="3">
        <v>16.100000000000001</v>
      </c>
      <c r="F332" s="4">
        <v>84</v>
      </c>
      <c r="G332" s="4">
        <v>1018</v>
      </c>
      <c r="H332" t="s">
        <v>9</v>
      </c>
      <c r="I332" s="3">
        <v>19.2</v>
      </c>
    </row>
    <row r="333" spans="1:9" x14ac:dyDescent="0.25">
      <c r="A333">
        <v>332</v>
      </c>
      <c r="B333" s="2">
        <v>46098.694444444453</v>
      </c>
      <c r="C333" t="s">
        <v>4</v>
      </c>
      <c r="D333" s="3">
        <v>17.5</v>
      </c>
      <c r="E333" s="3">
        <v>18.3</v>
      </c>
      <c r="F333" s="4">
        <v>77</v>
      </c>
      <c r="G333" s="4">
        <v>1023</v>
      </c>
      <c r="H333" t="s">
        <v>5</v>
      </c>
      <c r="I333" s="3">
        <v>20</v>
      </c>
    </row>
    <row r="334" spans="1:9" x14ac:dyDescent="0.25">
      <c r="A334">
        <v>333</v>
      </c>
      <c r="B334" s="2">
        <v>46099.770833333343</v>
      </c>
      <c r="C334" t="s">
        <v>4</v>
      </c>
      <c r="D334" s="3">
        <v>18.399999999999999</v>
      </c>
      <c r="E334" s="3">
        <v>18.899999999999999</v>
      </c>
      <c r="F334" s="4">
        <v>79</v>
      </c>
      <c r="G334" s="4">
        <v>1020</v>
      </c>
      <c r="H334" t="s">
        <v>12</v>
      </c>
      <c r="I334" s="3">
        <v>18.2</v>
      </c>
    </row>
    <row r="335" spans="1:9" x14ac:dyDescent="0.25">
      <c r="A335">
        <v>334</v>
      </c>
      <c r="B335" s="2">
        <v>46100.673611111109</v>
      </c>
      <c r="C335" t="s">
        <v>4</v>
      </c>
      <c r="D335" s="3">
        <v>16.899999999999999</v>
      </c>
      <c r="E335" s="3">
        <v>18.100000000000001</v>
      </c>
      <c r="F335" s="4">
        <v>77</v>
      </c>
      <c r="G335" s="4">
        <v>1021</v>
      </c>
      <c r="H335" t="s">
        <v>5</v>
      </c>
      <c r="I335" s="3">
        <v>18.899999999999999</v>
      </c>
    </row>
    <row r="336" spans="1:9" x14ac:dyDescent="0.25">
      <c r="A336">
        <v>335</v>
      </c>
      <c r="B336" s="2">
        <v>46101.569444444453</v>
      </c>
      <c r="C336" t="s">
        <v>4</v>
      </c>
      <c r="D336" s="3">
        <v>15.1</v>
      </c>
      <c r="E336" s="3">
        <v>15.7</v>
      </c>
      <c r="F336" s="4">
        <v>89</v>
      </c>
      <c r="G336" s="4">
        <v>1025</v>
      </c>
      <c r="H336" t="s">
        <v>11</v>
      </c>
      <c r="I336" s="3">
        <v>21.4</v>
      </c>
    </row>
    <row r="337" spans="1:9" x14ac:dyDescent="0.25">
      <c r="A337">
        <v>336</v>
      </c>
      <c r="B337" s="2">
        <v>46102.756944444453</v>
      </c>
      <c r="C337" t="s">
        <v>4</v>
      </c>
      <c r="D337" s="3">
        <v>16.2</v>
      </c>
      <c r="E337" s="3">
        <v>16.8</v>
      </c>
      <c r="F337" s="4">
        <v>72</v>
      </c>
      <c r="G337" s="4">
        <v>1014</v>
      </c>
      <c r="H337" t="s">
        <v>5</v>
      </c>
      <c r="I337" s="3">
        <v>19.2</v>
      </c>
    </row>
    <row r="338" spans="1:9" x14ac:dyDescent="0.25">
      <c r="A338">
        <v>337</v>
      </c>
      <c r="B338" s="2">
        <v>46103.791666666657</v>
      </c>
      <c r="C338" t="s">
        <v>4</v>
      </c>
      <c r="D338" s="3">
        <v>14.9</v>
      </c>
      <c r="E338" s="3">
        <v>15.4</v>
      </c>
      <c r="F338" s="4">
        <v>82</v>
      </c>
      <c r="G338" s="4">
        <v>1020</v>
      </c>
      <c r="H338" t="s">
        <v>10</v>
      </c>
      <c r="I338" s="3">
        <v>19.399999999999999</v>
      </c>
    </row>
    <row r="339" spans="1:9" x14ac:dyDescent="0.25">
      <c r="A339">
        <v>338</v>
      </c>
      <c r="B339" s="2">
        <v>46104.701388888891</v>
      </c>
      <c r="C339" t="s">
        <v>4</v>
      </c>
      <c r="D339" s="3">
        <v>15.1</v>
      </c>
      <c r="E339" s="3">
        <v>14.4</v>
      </c>
      <c r="F339" s="4">
        <v>92</v>
      </c>
      <c r="G339" s="4">
        <v>1028</v>
      </c>
      <c r="H339" t="s">
        <v>5</v>
      </c>
      <c r="I339" s="3">
        <v>24.8</v>
      </c>
    </row>
    <row r="340" spans="1:9" x14ac:dyDescent="0.25">
      <c r="A340">
        <v>339</v>
      </c>
      <c r="B340" s="2">
        <v>46105.909722222219</v>
      </c>
      <c r="C340" t="s">
        <v>4</v>
      </c>
      <c r="D340" s="3">
        <v>14.6</v>
      </c>
      <c r="E340" s="3">
        <v>14.6</v>
      </c>
      <c r="F340" s="4">
        <v>90</v>
      </c>
      <c r="G340" s="4">
        <v>1018</v>
      </c>
      <c r="H340" t="s">
        <v>10</v>
      </c>
      <c r="I340" s="3">
        <v>25.1</v>
      </c>
    </row>
    <row r="341" spans="1:9" x14ac:dyDescent="0.25">
      <c r="A341">
        <v>340</v>
      </c>
      <c r="B341" s="2">
        <v>46106.770833333343</v>
      </c>
      <c r="C341" t="s">
        <v>4</v>
      </c>
      <c r="D341" s="3">
        <v>22.1</v>
      </c>
      <c r="E341" s="3">
        <v>22.5</v>
      </c>
      <c r="F341" s="4">
        <v>69</v>
      </c>
      <c r="G341" s="4">
        <v>1022</v>
      </c>
      <c r="H341" t="s">
        <v>5</v>
      </c>
      <c r="I341" s="3">
        <v>18.2</v>
      </c>
    </row>
    <row r="342" spans="1:9" x14ac:dyDescent="0.25">
      <c r="A342">
        <v>341</v>
      </c>
      <c r="B342" s="2">
        <v>46108.4375</v>
      </c>
      <c r="C342" t="s">
        <v>4</v>
      </c>
      <c r="D342" s="3">
        <v>11.8</v>
      </c>
      <c r="E342" s="3">
        <v>10.8</v>
      </c>
      <c r="F342" s="4">
        <v>69</v>
      </c>
      <c r="G342" s="4">
        <v>1017</v>
      </c>
      <c r="H342" t="s">
        <v>6</v>
      </c>
      <c r="I342" s="3">
        <v>19.2</v>
      </c>
    </row>
    <row r="343" spans="1:9" x14ac:dyDescent="0.25">
      <c r="A343">
        <v>342</v>
      </c>
      <c r="B343" s="2">
        <v>46109.298611111109</v>
      </c>
      <c r="C343" t="s">
        <v>4</v>
      </c>
      <c r="D343" s="3">
        <v>10.4</v>
      </c>
      <c r="E343" s="3">
        <v>9.1</v>
      </c>
      <c r="F343" s="4">
        <v>83</v>
      </c>
      <c r="G343" s="4">
        <v>1009</v>
      </c>
      <c r="H343" t="s">
        <v>6</v>
      </c>
      <c r="I343" s="3">
        <v>22.7</v>
      </c>
    </row>
    <row r="344" spans="1:9" x14ac:dyDescent="0.25">
      <c r="A344">
        <v>343</v>
      </c>
      <c r="B344" s="2">
        <v>46110.666666666657</v>
      </c>
      <c r="C344" t="s">
        <v>4</v>
      </c>
      <c r="D344" s="3">
        <v>17.399999999999999</v>
      </c>
      <c r="E344" s="3">
        <v>18.2</v>
      </c>
      <c r="F344" s="4">
        <v>92</v>
      </c>
      <c r="G344" s="4">
        <v>1015</v>
      </c>
      <c r="H344" t="s">
        <v>7</v>
      </c>
      <c r="I344" s="3">
        <v>16.2</v>
      </c>
    </row>
    <row r="345" spans="1:9" x14ac:dyDescent="0.25">
      <c r="A345">
        <v>344</v>
      </c>
      <c r="B345" s="2">
        <v>46111.833333333343</v>
      </c>
      <c r="C345" t="s">
        <v>4</v>
      </c>
      <c r="D345" s="3">
        <v>17.600000000000001</v>
      </c>
      <c r="E345" s="3">
        <v>17.399999999999999</v>
      </c>
      <c r="F345" s="4">
        <v>72</v>
      </c>
      <c r="G345" s="4">
        <v>1017</v>
      </c>
      <c r="H345" t="s">
        <v>5</v>
      </c>
      <c r="I345" s="3">
        <v>22.4</v>
      </c>
    </row>
    <row r="346" spans="1:9" x14ac:dyDescent="0.25">
      <c r="A346">
        <v>345</v>
      </c>
      <c r="B346" s="2">
        <v>46112.833333333343</v>
      </c>
      <c r="C346" t="s">
        <v>4</v>
      </c>
      <c r="D346" s="3">
        <v>15.7</v>
      </c>
      <c r="E346" s="3">
        <v>16.2</v>
      </c>
      <c r="F346" s="4">
        <v>77</v>
      </c>
      <c r="G346" s="4">
        <v>1018</v>
      </c>
      <c r="H346" t="s">
        <v>5</v>
      </c>
      <c r="I346" s="3">
        <v>22.3</v>
      </c>
    </row>
    <row r="347" spans="1:9" x14ac:dyDescent="0.25">
      <c r="A347">
        <v>346</v>
      </c>
      <c r="B347" s="2">
        <v>46113.4375</v>
      </c>
      <c r="C347" t="s">
        <v>4</v>
      </c>
      <c r="D347" s="3">
        <v>15.3</v>
      </c>
      <c r="E347" s="3">
        <v>14.5</v>
      </c>
      <c r="F347" s="4">
        <v>96</v>
      </c>
      <c r="G347" s="4">
        <v>1011</v>
      </c>
      <c r="H347" t="s">
        <v>9</v>
      </c>
      <c r="I347" s="3">
        <v>17</v>
      </c>
    </row>
    <row r="348" spans="1:9" x14ac:dyDescent="0.25">
      <c r="A348">
        <v>347</v>
      </c>
      <c r="B348" s="2">
        <v>46114.416666666657</v>
      </c>
      <c r="C348" t="s">
        <v>4</v>
      </c>
      <c r="D348" s="3">
        <v>15.3</v>
      </c>
      <c r="E348" s="3">
        <v>14.8</v>
      </c>
      <c r="F348" s="4">
        <v>87</v>
      </c>
      <c r="G348" s="4">
        <v>1020</v>
      </c>
      <c r="H348" t="s">
        <v>5</v>
      </c>
      <c r="I348" s="3">
        <v>25.1</v>
      </c>
    </row>
    <row r="349" spans="1:9" x14ac:dyDescent="0.25">
      <c r="A349">
        <v>348</v>
      </c>
      <c r="B349" s="2">
        <v>46115.888888888891</v>
      </c>
      <c r="C349" t="s">
        <v>4</v>
      </c>
      <c r="D349" s="3">
        <v>20.6</v>
      </c>
      <c r="E349" s="3">
        <v>20.2</v>
      </c>
      <c r="F349" s="4">
        <v>82</v>
      </c>
      <c r="G349" s="4">
        <v>1017</v>
      </c>
      <c r="H349" t="s">
        <v>7</v>
      </c>
      <c r="I349" s="3">
        <v>16</v>
      </c>
    </row>
    <row r="350" spans="1:9" x14ac:dyDescent="0.25">
      <c r="A350">
        <v>349</v>
      </c>
      <c r="B350" s="2">
        <v>46116.694444444453</v>
      </c>
      <c r="C350" t="s">
        <v>4</v>
      </c>
      <c r="D350" s="3">
        <v>14.4</v>
      </c>
      <c r="E350" s="3">
        <v>15.3</v>
      </c>
      <c r="F350" s="4">
        <v>83</v>
      </c>
      <c r="G350" s="4">
        <v>1014</v>
      </c>
      <c r="H350" t="s">
        <v>8</v>
      </c>
      <c r="I350" s="3">
        <v>17.7</v>
      </c>
    </row>
    <row r="351" spans="1:9" x14ac:dyDescent="0.25">
      <c r="A351">
        <v>350</v>
      </c>
      <c r="B351" s="2">
        <v>46117.784722222219</v>
      </c>
      <c r="C351" t="s">
        <v>4</v>
      </c>
      <c r="D351" s="3">
        <v>18.100000000000001</v>
      </c>
      <c r="E351" s="3">
        <v>19.100000000000001</v>
      </c>
      <c r="F351" s="4">
        <v>79</v>
      </c>
      <c r="G351" s="4">
        <v>1018</v>
      </c>
      <c r="H351" t="s">
        <v>5</v>
      </c>
      <c r="I351" s="3">
        <v>16.8</v>
      </c>
    </row>
  </sheetData>
  <conditionalFormatting sqref="D2:D351">
    <cfRule type="colorScale" priority="1">
      <colorScale>
        <cfvo type="num" val="8"/>
        <cfvo type="num" val="18"/>
        <cfvo type="num" val="32"/>
        <color rgb="FF5B9BD5"/>
        <color rgb="FFFFF2CC"/>
        <color rgb="FFED7D31"/>
      </colorScale>
    </cfRule>
  </conditionalFormatting>
  <conditionalFormatting sqref="F2:F351">
    <cfRule type="colorScale" priority="2">
      <colorScale>
        <cfvo type="num" val="40"/>
        <cfvo type="num" val="70"/>
        <cfvo type="num" val="95"/>
        <color rgb="FFE2F0D9"/>
        <color rgb="FFFFF2CC"/>
        <color rgb="FFF4CCCC"/>
      </colorScale>
    </cfRule>
  </conditionalFormatting>
  <conditionalFormatting sqref="I2:I351">
    <cfRule type="colorScale" priority="3">
      <colorScale>
        <cfvo type="num" val="5"/>
        <cfvo type="num" val="18"/>
        <cfvo type="num" val="40"/>
        <color rgb="FFE2F0D9"/>
        <color rgb="FFD9EAF7"/>
        <color rgb="FF9FC5E8"/>
      </colorScale>
    </cfRule>
  </conditionalFormatting>
  <pageMargins left="0.7" right="0.7" top="0.75" bottom="0.75" header="0.3" footer="0.3"/>
  <drawing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showGridLines="0" workbookViewId="0"/>
  </sheetViews>
  <sheetFormatPr defaultRowHeight="15" x14ac:dyDescent="0.25"/>
  <cols>
    <col min="1" max="1" width="18" customWidth="1"/>
    <col min="2" max="2" width="40" customWidth="1"/>
    <col min="3" max="4" width="14" customWidth="1"/>
  </cols>
  <sheetData>
    <row r="1" spans="1:4" ht="18.75" x14ac:dyDescent="0.3">
      <c r="A1" s="12" t="s">
        <v>15</v>
      </c>
      <c r="B1" s="13"/>
      <c r="C1" s="13"/>
      <c r="D1" s="13"/>
    </row>
    <row r="3" spans="1:4" x14ac:dyDescent="0.25">
      <c r="A3" s="5" t="s">
        <v>16</v>
      </c>
      <c r="B3" t="s">
        <v>4</v>
      </c>
    </row>
    <row r="4" spans="1:4" x14ac:dyDescent="0.25">
      <c r="A4" s="5" t="s">
        <v>17</v>
      </c>
      <c r="B4">
        <v>350</v>
      </c>
    </row>
    <row r="5" spans="1:4" x14ac:dyDescent="0.25">
      <c r="A5" s="5" t="s">
        <v>18</v>
      </c>
      <c r="B5" s="6">
        <v>45754</v>
      </c>
      <c r="C5" s="6">
        <v>46117</v>
      </c>
    </row>
    <row r="6" spans="1:4" x14ac:dyDescent="0.25">
      <c r="A6" s="5" t="s">
        <v>19</v>
      </c>
      <c r="B6" t="s">
        <v>20</v>
      </c>
    </row>
    <row r="7" spans="1:4" x14ac:dyDescent="0.25">
      <c r="A7" s="5" t="s">
        <v>21</v>
      </c>
      <c r="B7" t="s">
        <v>22</v>
      </c>
    </row>
    <row r="9" spans="1:4" x14ac:dyDescent="0.25">
      <c r="A9" s="5" t="s">
        <v>23</v>
      </c>
      <c r="B9" t="s">
        <v>24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51"/>
  <sheetViews>
    <sheetView showGridLines="0" workbookViewId="0"/>
  </sheetViews>
  <sheetFormatPr defaultRowHeight="15" x14ac:dyDescent="0.25"/>
  <cols>
    <col min="1" max="1" width="19" customWidth="1"/>
    <col min="2" max="2" width="14" customWidth="1"/>
    <col min="3" max="3" width="12" customWidth="1"/>
    <col min="4" max="4" width="10" customWidth="1"/>
    <col min="5" max="5" width="14" customWidth="1"/>
    <col min="6" max="6" width="10" customWidth="1"/>
    <col min="7" max="7" width="12" customWidth="1"/>
    <col min="8" max="10" width="10" customWidth="1"/>
  </cols>
  <sheetData>
    <row r="1" spans="1:10" x14ac:dyDescent="0.25">
      <c r="A1" s="1" t="s">
        <v>1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</row>
    <row r="2" spans="1:10" x14ac:dyDescent="0.25">
      <c r="A2" s="7">
        <f>weather_data!B2</f>
        <v>45754.590277777781</v>
      </c>
      <c r="B2" s="8">
        <f t="shared" ref="B2:B65" si="0">INT(A2)</f>
        <v>45754</v>
      </c>
      <c r="C2" s="9" t="str">
        <f t="shared" ref="C2:C65" si="1">TEXT(B2,"yyyy-mm")</f>
        <v>yyyy-04</v>
      </c>
      <c r="D2" s="9">
        <f t="shared" ref="D2:D65" si="2">MONTH(B2)</f>
        <v>4</v>
      </c>
      <c r="E2" s="9" t="str">
        <f t="shared" ref="E2:E65" si="3">TEXT(B2,"mmmm")</f>
        <v>kwiecień</v>
      </c>
      <c r="F2" s="9" t="str">
        <f t="shared" ref="F2:F65" si="4">"Q"&amp;ROUNDUP(D2/3,0)</f>
        <v>Q2</v>
      </c>
      <c r="G2" s="9" t="str">
        <f t="shared" ref="G2:G65" si="5">IF(OR(D2=12,D2&lt;=2),"Winter",IF(D2&lt;=5,"Spring",IF(D2&lt;=8,"Summer","Autumn")))</f>
        <v>Spring</v>
      </c>
      <c r="H2" s="10">
        <f>weather_data!E2-weather_data!D2</f>
        <v>-1</v>
      </c>
      <c r="I2" s="9">
        <f>IF(OR(weather_data!H2="light rain",weather_data!H2="moderate rain",weather_data!H2="drizzle",weather_data!H2="thunderstorm"),1,0)</f>
        <v>0</v>
      </c>
      <c r="J2" s="9">
        <f>IF(weather_data!I2&gt;=25,1,0)</f>
        <v>0</v>
      </c>
    </row>
    <row r="3" spans="1:10" x14ac:dyDescent="0.25">
      <c r="A3" s="7">
        <f>weather_data!B3</f>
        <v>45755.708333333343</v>
      </c>
      <c r="B3" s="8">
        <f t="shared" si="0"/>
        <v>45755</v>
      </c>
      <c r="C3" s="9" t="str">
        <f t="shared" si="1"/>
        <v>yyyy-04</v>
      </c>
      <c r="D3" s="9">
        <f t="shared" si="2"/>
        <v>4</v>
      </c>
      <c r="E3" s="9" t="str">
        <f t="shared" si="3"/>
        <v>kwiecień</v>
      </c>
      <c r="F3" s="9" t="str">
        <f t="shared" si="4"/>
        <v>Q2</v>
      </c>
      <c r="G3" s="9" t="str">
        <f t="shared" si="5"/>
        <v>Spring</v>
      </c>
      <c r="H3" s="10">
        <f>weather_data!E3-weather_data!D3</f>
        <v>0.19999999999999929</v>
      </c>
      <c r="I3" s="9">
        <f>IF(OR(weather_data!H3="light rain",weather_data!H3="moderate rain",weather_data!H3="drizzle",weather_data!H3="thunderstorm"),1,0)</f>
        <v>1</v>
      </c>
      <c r="J3" s="9">
        <f>IF(weather_data!I3&gt;=25,1,0)</f>
        <v>1</v>
      </c>
    </row>
    <row r="4" spans="1:10" x14ac:dyDescent="0.25">
      <c r="A4" s="7">
        <f>weather_data!B4</f>
        <v>45756.555555555547</v>
      </c>
      <c r="B4" s="8">
        <f t="shared" si="0"/>
        <v>45756</v>
      </c>
      <c r="C4" s="9" t="str">
        <f t="shared" si="1"/>
        <v>yyyy-04</v>
      </c>
      <c r="D4" s="9">
        <f t="shared" si="2"/>
        <v>4</v>
      </c>
      <c r="E4" s="9" t="str">
        <f t="shared" si="3"/>
        <v>kwiecień</v>
      </c>
      <c r="F4" s="9" t="str">
        <f t="shared" si="4"/>
        <v>Q2</v>
      </c>
      <c r="G4" s="9" t="str">
        <f t="shared" si="5"/>
        <v>Spring</v>
      </c>
      <c r="H4" s="10">
        <f>weather_data!E4-weather_data!D4</f>
        <v>-0.90000000000000036</v>
      </c>
      <c r="I4" s="9">
        <f>IF(OR(weather_data!H4="light rain",weather_data!H4="moderate rain",weather_data!H4="drizzle",weather_data!H4="thunderstorm"),1,0)</f>
        <v>0</v>
      </c>
      <c r="J4" s="9">
        <f>IF(weather_data!I4&gt;=25,1,0)</f>
        <v>0</v>
      </c>
    </row>
    <row r="5" spans="1:10" x14ac:dyDescent="0.25">
      <c r="A5" s="7">
        <f>weather_data!B5</f>
        <v>45757.631944444453</v>
      </c>
      <c r="B5" s="8">
        <f t="shared" si="0"/>
        <v>45757</v>
      </c>
      <c r="C5" s="9" t="str">
        <f t="shared" si="1"/>
        <v>yyyy-04</v>
      </c>
      <c r="D5" s="9">
        <f t="shared" si="2"/>
        <v>4</v>
      </c>
      <c r="E5" s="9" t="str">
        <f t="shared" si="3"/>
        <v>kwiecień</v>
      </c>
      <c r="F5" s="9" t="str">
        <f t="shared" si="4"/>
        <v>Q2</v>
      </c>
      <c r="G5" s="9" t="str">
        <f t="shared" si="5"/>
        <v>Spring</v>
      </c>
      <c r="H5" s="10">
        <f>weather_data!E5-weather_data!D5</f>
        <v>0.59999999999999787</v>
      </c>
      <c r="I5" s="9">
        <f>IF(OR(weather_data!H5="light rain",weather_data!H5="moderate rain",weather_data!H5="drizzle",weather_data!H5="thunderstorm"),1,0)</f>
        <v>0</v>
      </c>
      <c r="J5" s="9">
        <f>IF(weather_data!I5&gt;=25,1,0)</f>
        <v>0</v>
      </c>
    </row>
    <row r="6" spans="1:10" x14ac:dyDescent="0.25">
      <c r="A6" s="7">
        <f>weather_data!B6</f>
        <v>45758.861111111109</v>
      </c>
      <c r="B6" s="8">
        <f t="shared" si="0"/>
        <v>45758</v>
      </c>
      <c r="C6" s="9" t="str">
        <f t="shared" si="1"/>
        <v>yyyy-04</v>
      </c>
      <c r="D6" s="9">
        <f t="shared" si="2"/>
        <v>4</v>
      </c>
      <c r="E6" s="9" t="str">
        <f t="shared" si="3"/>
        <v>kwiecień</v>
      </c>
      <c r="F6" s="9" t="str">
        <f t="shared" si="4"/>
        <v>Q2</v>
      </c>
      <c r="G6" s="9" t="str">
        <f t="shared" si="5"/>
        <v>Spring</v>
      </c>
      <c r="H6" s="10">
        <f>weather_data!E6-weather_data!D6</f>
        <v>0.19999999999999929</v>
      </c>
      <c r="I6" s="9">
        <f>IF(OR(weather_data!H6="light rain",weather_data!H6="moderate rain",weather_data!H6="drizzle",weather_data!H6="thunderstorm"),1,0)</f>
        <v>0</v>
      </c>
      <c r="J6" s="9">
        <f>IF(weather_data!I6&gt;=25,1,0)</f>
        <v>0</v>
      </c>
    </row>
    <row r="7" spans="1:10" x14ac:dyDescent="0.25">
      <c r="A7" s="7">
        <f>weather_data!B7</f>
        <v>45759.652777777781</v>
      </c>
      <c r="B7" s="8">
        <f t="shared" si="0"/>
        <v>45759</v>
      </c>
      <c r="C7" s="9" t="str">
        <f t="shared" si="1"/>
        <v>yyyy-04</v>
      </c>
      <c r="D7" s="9">
        <f t="shared" si="2"/>
        <v>4</v>
      </c>
      <c r="E7" s="9" t="str">
        <f t="shared" si="3"/>
        <v>kwiecień</v>
      </c>
      <c r="F7" s="9" t="str">
        <f t="shared" si="4"/>
        <v>Q2</v>
      </c>
      <c r="G7" s="9" t="str">
        <f t="shared" si="5"/>
        <v>Spring</v>
      </c>
      <c r="H7" s="10">
        <f>weather_data!E7-weather_data!D7</f>
        <v>0.79999999999999716</v>
      </c>
      <c r="I7" s="9">
        <f>IF(OR(weather_data!H7="light rain",weather_data!H7="moderate rain",weather_data!H7="drizzle",weather_data!H7="thunderstorm"),1,0)</f>
        <v>1</v>
      </c>
      <c r="J7" s="9">
        <f>IF(weather_data!I7&gt;=25,1,0)</f>
        <v>0</v>
      </c>
    </row>
    <row r="8" spans="1:10" x14ac:dyDescent="0.25">
      <c r="A8" s="7">
        <f>weather_data!B8</f>
        <v>45760.284722222219</v>
      </c>
      <c r="B8" s="8">
        <f t="shared" si="0"/>
        <v>45760</v>
      </c>
      <c r="C8" s="9" t="str">
        <f t="shared" si="1"/>
        <v>yyyy-04</v>
      </c>
      <c r="D8" s="9">
        <f t="shared" si="2"/>
        <v>4</v>
      </c>
      <c r="E8" s="9" t="str">
        <f t="shared" si="3"/>
        <v>kwiecień</v>
      </c>
      <c r="F8" s="9" t="str">
        <f t="shared" si="4"/>
        <v>Q2</v>
      </c>
      <c r="G8" s="9" t="str">
        <f t="shared" si="5"/>
        <v>Spring</v>
      </c>
      <c r="H8" s="10">
        <f>weather_data!E8-weather_data!D8</f>
        <v>9.9999999999999645E-2</v>
      </c>
      <c r="I8" s="9">
        <f>IF(OR(weather_data!H8="light rain",weather_data!H8="moderate rain",weather_data!H8="drizzle",weather_data!H8="thunderstorm"),1,0)</f>
        <v>0</v>
      </c>
      <c r="J8" s="9">
        <f>IF(weather_data!I8&gt;=25,1,0)</f>
        <v>0</v>
      </c>
    </row>
    <row r="9" spans="1:10" x14ac:dyDescent="0.25">
      <c r="A9" s="7">
        <f>weather_data!B9</f>
        <v>45761.659722222219</v>
      </c>
      <c r="B9" s="8">
        <f t="shared" si="0"/>
        <v>45761</v>
      </c>
      <c r="C9" s="9" t="str">
        <f t="shared" si="1"/>
        <v>yyyy-04</v>
      </c>
      <c r="D9" s="9">
        <f t="shared" si="2"/>
        <v>4</v>
      </c>
      <c r="E9" s="9" t="str">
        <f t="shared" si="3"/>
        <v>kwiecień</v>
      </c>
      <c r="F9" s="9" t="str">
        <f t="shared" si="4"/>
        <v>Q2</v>
      </c>
      <c r="G9" s="9" t="str">
        <f t="shared" si="5"/>
        <v>Spring</v>
      </c>
      <c r="H9" s="10">
        <f>weather_data!E9-weather_data!D9</f>
        <v>0.69999999999999929</v>
      </c>
      <c r="I9" s="9">
        <f>IF(OR(weather_data!H9="light rain",weather_data!H9="moderate rain",weather_data!H9="drizzle",weather_data!H9="thunderstorm"),1,0)</f>
        <v>0</v>
      </c>
      <c r="J9" s="9">
        <f>IF(weather_data!I9&gt;=25,1,0)</f>
        <v>1</v>
      </c>
    </row>
    <row r="10" spans="1:10" x14ac:dyDescent="0.25">
      <c r="A10" s="7">
        <f>weather_data!B10</f>
        <v>45762.381944444453</v>
      </c>
      <c r="B10" s="8">
        <f t="shared" si="0"/>
        <v>45762</v>
      </c>
      <c r="C10" s="9" t="str">
        <f t="shared" si="1"/>
        <v>yyyy-04</v>
      </c>
      <c r="D10" s="9">
        <f t="shared" si="2"/>
        <v>4</v>
      </c>
      <c r="E10" s="9" t="str">
        <f t="shared" si="3"/>
        <v>kwiecień</v>
      </c>
      <c r="F10" s="9" t="str">
        <f t="shared" si="4"/>
        <v>Q2</v>
      </c>
      <c r="G10" s="9" t="str">
        <f t="shared" si="5"/>
        <v>Spring</v>
      </c>
      <c r="H10" s="10">
        <f>weather_data!E10-weather_data!D10</f>
        <v>0</v>
      </c>
      <c r="I10" s="9">
        <f>IF(OR(weather_data!H10="light rain",weather_data!H10="moderate rain",weather_data!H10="drizzle",weather_data!H10="thunderstorm"),1,0)</f>
        <v>1</v>
      </c>
      <c r="J10" s="9">
        <f>IF(weather_data!I10&gt;=25,1,0)</f>
        <v>1</v>
      </c>
    </row>
    <row r="11" spans="1:10" x14ac:dyDescent="0.25">
      <c r="A11" s="7">
        <f>weather_data!B11</f>
        <v>45763.583333333343</v>
      </c>
      <c r="B11" s="8">
        <f t="shared" si="0"/>
        <v>45763</v>
      </c>
      <c r="C11" s="9" t="str">
        <f t="shared" si="1"/>
        <v>yyyy-04</v>
      </c>
      <c r="D11" s="9">
        <f t="shared" si="2"/>
        <v>4</v>
      </c>
      <c r="E11" s="9" t="str">
        <f t="shared" si="3"/>
        <v>kwiecień</v>
      </c>
      <c r="F11" s="9" t="str">
        <f t="shared" si="4"/>
        <v>Q2</v>
      </c>
      <c r="G11" s="9" t="str">
        <f t="shared" si="5"/>
        <v>Spring</v>
      </c>
      <c r="H11" s="10">
        <f>weather_data!E11-weather_data!D11</f>
        <v>-0.19999999999999929</v>
      </c>
      <c r="I11" s="9">
        <f>IF(OR(weather_data!H11="light rain",weather_data!H11="moderate rain",weather_data!H11="drizzle",weather_data!H11="thunderstorm"),1,0)</f>
        <v>0</v>
      </c>
      <c r="J11" s="9">
        <f>IF(weather_data!I11&gt;=25,1,0)</f>
        <v>0</v>
      </c>
    </row>
    <row r="12" spans="1:10" x14ac:dyDescent="0.25">
      <c r="A12" s="7">
        <f>weather_data!B12</f>
        <v>45764.409722222219</v>
      </c>
      <c r="B12" s="8">
        <f t="shared" si="0"/>
        <v>45764</v>
      </c>
      <c r="C12" s="9" t="str">
        <f t="shared" si="1"/>
        <v>yyyy-04</v>
      </c>
      <c r="D12" s="9">
        <f t="shared" si="2"/>
        <v>4</v>
      </c>
      <c r="E12" s="9" t="str">
        <f t="shared" si="3"/>
        <v>kwiecień</v>
      </c>
      <c r="F12" s="9" t="str">
        <f t="shared" si="4"/>
        <v>Q2</v>
      </c>
      <c r="G12" s="9" t="str">
        <f t="shared" si="5"/>
        <v>Spring</v>
      </c>
      <c r="H12" s="10">
        <f>weather_data!E12-weather_data!D12</f>
        <v>-0.80000000000000071</v>
      </c>
      <c r="I12" s="9">
        <f>IF(OR(weather_data!H12="light rain",weather_data!H12="moderate rain",weather_data!H12="drizzle",weather_data!H12="thunderstorm"),1,0)</f>
        <v>0</v>
      </c>
      <c r="J12" s="9">
        <f>IF(weather_data!I12&gt;=25,1,0)</f>
        <v>0</v>
      </c>
    </row>
    <row r="13" spans="1:10" x14ac:dyDescent="0.25">
      <c r="A13" s="7">
        <f>weather_data!B13</f>
        <v>45765.430555555547</v>
      </c>
      <c r="B13" s="8">
        <f t="shared" si="0"/>
        <v>45765</v>
      </c>
      <c r="C13" s="9" t="str">
        <f t="shared" si="1"/>
        <v>yyyy-04</v>
      </c>
      <c r="D13" s="9">
        <f t="shared" si="2"/>
        <v>4</v>
      </c>
      <c r="E13" s="9" t="str">
        <f t="shared" si="3"/>
        <v>kwiecień</v>
      </c>
      <c r="F13" s="9" t="str">
        <f t="shared" si="4"/>
        <v>Q2</v>
      </c>
      <c r="G13" s="9" t="str">
        <f t="shared" si="5"/>
        <v>Spring</v>
      </c>
      <c r="H13" s="10">
        <f>weather_data!E13-weather_data!D13</f>
        <v>0</v>
      </c>
      <c r="I13" s="9">
        <f>IF(OR(weather_data!H13="light rain",weather_data!H13="moderate rain",weather_data!H13="drizzle",weather_data!H13="thunderstorm"),1,0)</f>
        <v>0</v>
      </c>
      <c r="J13" s="9">
        <f>IF(weather_data!I13&gt;=25,1,0)</f>
        <v>0</v>
      </c>
    </row>
    <row r="14" spans="1:10" x14ac:dyDescent="0.25">
      <c r="A14" s="7">
        <f>weather_data!B14</f>
        <v>45766.652777777781</v>
      </c>
      <c r="B14" s="8">
        <f t="shared" si="0"/>
        <v>45766</v>
      </c>
      <c r="C14" s="9" t="str">
        <f t="shared" si="1"/>
        <v>yyyy-04</v>
      </c>
      <c r="D14" s="9">
        <f t="shared" si="2"/>
        <v>4</v>
      </c>
      <c r="E14" s="9" t="str">
        <f t="shared" si="3"/>
        <v>kwiecień</v>
      </c>
      <c r="F14" s="9" t="str">
        <f t="shared" si="4"/>
        <v>Q2</v>
      </c>
      <c r="G14" s="9" t="str">
        <f t="shared" si="5"/>
        <v>Spring</v>
      </c>
      <c r="H14" s="10">
        <f>weather_data!E14-weather_data!D14</f>
        <v>-0.80000000000000071</v>
      </c>
      <c r="I14" s="9">
        <f>IF(OR(weather_data!H14="light rain",weather_data!H14="moderate rain",weather_data!H14="drizzle",weather_data!H14="thunderstorm"),1,0)</f>
        <v>1</v>
      </c>
      <c r="J14" s="9">
        <f>IF(weather_data!I14&gt;=25,1,0)</f>
        <v>0</v>
      </c>
    </row>
    <row r="15" spans="1:10" x14ac:dyDescent="0.25">
      <c r="A15" s="7">
        <f>weather_data!B15</f>
        <v>45767.534722222219</v>
      </c>
      <c r="B15" s="8">
        <f t="shared" si="0"/>
        <v>45767</v>
      </c>
      <c r="C15" s="9" t="str">
        <f t="shared" si="1"/>
        <v>yyyy-04</v>
      </c>
      <c r="D15" s="9">
        <f t="shared" si="2"/>
        <v>4</v>
      </c>
      <c r="E15" s="9" t="str">
        <f t="shared" si="3"/>
        <v>kwiecień</v>
      </c>
      <c r="F15" s="9" t="str">
        <f t="shared" si="4"/>
        <v>Q2</v>
      </c>
      <c r="G15" s="9" t="str">
        <f t="shared" si="5"/>
        <v>Spring</v>
      </c>
      <c r="H15" s="10">
        <f>weather_data!E15-weather_data!D15</f>
        <v>0.30000000000000071</v>
      </c>
      <c r="I15" s="9">
        <f>IF(OR(weather_data!H15="light rain",weather_data!H15="moderate rain",weather_data!H15="drizzle",weather_data!H15="thunderstorm"),1,0)</f>
        <v>0</v>
      </c>
      <c r="J15" s="9">
        <f>IF(weather_data!I15&gt;=25,1,0)</f>
        <v>1</v>
      </c>
    </row>
    <row r="16" spans="1:10" x14ac:dyDescent="0.25">
      <c r="A16" s="7">
        <f>weather_data!B16</f>
        <v>45768.673611111109</v>
      </c>
      <c r="B16" s="8">
        <f t="shared" si="0"/>
        <v>45768</v>
      </c>
      <c r="C16" s="9" t="str">
        <f t="shared" si="1"/>
        <v>yyyy-04</v>
      </c>
      <c r="D16" s="9">
        <f t="shared" si="2"/>
        <v>4</v>
      </c>
      <c r="E16" s="9" t="str">
        <f t="shared" si="3"/>
        <v>kwiecień</v>
      </c>
      <c r="F16" s="9" t="str">
        <f t="shared" si="4"/>
        <v>Q2</v>
      </c>
      <c r="G16" s="9" t="str">
        <f t="shared" si="5"/>
        <v>Spring</v>
      </c>
      <c r="H16" s="10">
        <f>weather_data!E16-weather_data!D16</f>
        <v>1</v>
      </c>
      <c r="I16" s="9">
        <f>IF(OR(weather_data!H16="light rain",weather_data!H16="moderate rain",weather_data!H16="drizzle",weather_data!H16="thunderstorm"),1,0)</f>
        <v>0</v>
      </c>
      <c r="J16" s="9">
        <f>IF(weather_data!I16&gt;=25,1,0)</f>
        <v>0</v>
      </c>
    </row>
    <row r="17" spans="1:10" x14ac:dyDescent="0.25">
      <c r="A17" s="7">
        <f>weather_data!B17</f>
        <v>45769.611111111109</v>
      </c>
      <c r="B17" s="8">
        <f t="shared" si="0"/>
        <v>45769</v>
      </c>
      <c r="C17" s="9" t="str">
        <f t="shared" si="1"/>
        <v>yyyy-04</v>
      </c>
      <c r="D17" s="9">
        <f t="shared" si="2"/>
        <v>4</v>
      </c>
      <c r="E17" s="9" t="str">
        <f t="shared" si="3"/>
        <v>kwiecień</v>
      </c>
      <c r="F17" s="9" t="str">
        <f t="shared" si="4"/>
        <v>Q2</v>
      </c>
      <c r="G17" s="9" t="str">
        <f t="shared" si="5"/>
        <v>Spring</v>
      </c>
      <c r="H17" s="10">
        <f>weather_data!E17-weather_data!D17</f>
        <v>-1</v>
      </c>
      <c r="I17" s="9">
        <f>IF(OR(weather_data!H17="light rain",weather_data!H17="moderate rain",weather_data!H17="drizzle",weather_data!H17="thunderstorm"),1,0)</f>
        <v>1</v>
      </c>
      <c r="J17" s="9">
        <f>IF(weather_data!I17&gt;=25,1,0)</f>
        <v>0</v>
      </c>
    </row>
    <row r="18" spans="1:10" x14ac:dyDescent="0.25">
      <c r="A18" s="7">
        <f>weather_data!B18</f>
        <v>45770.888888888891</v>
      </c>
      <c r="B18" s="8">
        <f t="shared" si="0"/>
        <v>45770</v>
      </c>
      <c r="C18" s="9" t="str">
        <f t="shared" si="1"/>
        <v>yyyy-04</v>
      </c>
      <c r="D18" s="9">
        <f t="shared" si="2"/>
        <v>4</v>
      </c>
      <c r="E18" s="9" t="str">
        <f t="shared" si="3"/>
        <v>kwiecień</v>
      </c>
      <c r="F18" s="9" t="str">
        <f t="shared" si="4"/>
        <v>Q2</v>
      </c>
      <c r="G18" s="9" t="str">
        <f t="shared" si="5"/>
        <v>Spring</v>
      </c>
      <c r="H18" s="10">
        <f>weather_data!E18-weather_data!D18</f>
        <v>-0.59999999999999787</v>
      </c>
      <c r="I18" s="9">
        <f>IF(OR(weather_data!H18="light rain",weather_data!H18="moderate rain",weather_data!H18="drizzle",weather_data!H18="thunderstorm"),1,0)</f>
        <v>1</v>
      </c>
      <c r="J18" s="9">
        <f>IF(weather_data!I18&gt;=25,1,0)</f>
        <v>0</v>
      </c>
    </row>
    <row r="19" spans="1:10" x14ac:dyDescent="0.25">
      <c r="A19" s="7">
        <f>weather_data!B19</f>
        <v>45771.291666666657</v>
      </c>
      <c r="B19" s="8">
        <f t="shared" si="0"/>
        <v>45771</v>
      </c>
      <c r="C19" s="9" t="str">
        <f t="shared" si="1"/>
        <v>yyyy-04</v>
      </c>
      <c r="D19" s="9">
        <f t="shared" si="2"/>
        <v>4</v>
      </c>
      <c r="E19" s="9" t="str">
        <f t="shared" si="3"/>
        <v>kwiecień</v>
      </c>
      <c r="F19" s="9" t="str">
        <f t="shared" si="4"/>
        <v>Q2</v>
      </c>
      <c r="G19" s="9" t="str">
        <f t="shared" si="5"/>
        <v>Spring</v>
      </c>
      <c r="H19" s="10">
        <f>weather_data!E19-weather_data!D19</f>
        <v>1.1999999999999993</v>
      </c>
      <c r="I19" s="9">
        <f>IF(OR(weather_data!H19="light rain",weather_data!H19="moderate rain",weather_data!H19="drizzle",weather_data!H19="thunderstorm"),1,0)</f>
        <v>0</v>
      </c>
      <c r="J19" s="9">
        <f>IF(weather_data!I19&gt;=25,1,0)</f>
        <v>0</v>
      </c>
    </row>
    <row r="20" spans="1:10" x14ac:dyDescent="0.25">
      <c r="A20" s="7">
        <f>weather_data!B20</f>
        <v>45772.805555555547</v>
      </c>
      <c r="B20" s="8">
        <f t="shared" si="0"/>
        <v>45772</v>
      </c>
      <c r="C20" s="9" t="str">
        <f t="shared" si="1"/>
        <v>yyyy-04</v>
      </c>
      <c r="D20" s="9">
        <f t="shared" si="2"/>
        <v>4</v>
      </c>
      <c r="E20" s="9" t="str">
        <f t="shared" si="3"/>
        <v>kwiecień</v>
      </c>
      <c r="F20" s="9" t="str">
        <f t="shared" si="4"/>
        <v>Q2</v>
      </c>
      <c r="G20" s="9" t="str">
        <f t="shared" si="5"/>
        <v>Spring</v>
      </c>
      <c r="H20" s="10">
        <f>weather_data!E20-weather_data!D20</f>
        <v>-0.40000000000000213</v>
      </c>
      <c r="I20" s="9">
        <f>IF(OR(weather_data!H20="light rain",weather_data!H20="moderate rain",weather_data!H20="drizzle",weather_data!H20="thunderstorm"),1,0)</f>
        <v>0</v>
      </c>
      <c r="J20" s="9">
        <f>IF(weather_data!I20&gt;=25,1,0)</f>
        <v>0</v>
      </c>
    </row>
    <row r="21" spans="1:10" x14ac:dyDescent="0.25">
      <c r="A21" s="7">
        <f>weather_data!B21</f>
        <v>45773.291666666657</v>
      </c>
      <c r="B21" s="8">
        <f t="shared" si="0"/>
        <v>45773</v>
      </c>
      <c r="C21" s="9" t="str">
        <f t="shared" si="1"/>
        <v>yyyy-04</v>
      </c>
      <c r="D21" s="9">
        <f t="shared" si="2"/>
        <v>4</v>
      </c>
      <c r="E21" s="9" t="str">
        <f t="shared" si="3"/>
        <v>kwiecień</v>
      </c>
      <c r="F21" s="9" t="str">
        <f t="shared" si="4"/>
        <v>Q2</v>
      </c>
      <c r="G21" s="9" t="str">
        <f t="shared" si="5"/>
        <v>Spring</v>
      </c>
      <c r="H21" s="10">
        <f>weather_data!E21-weather_data!D21</f>
        <v>0.90000000000000036</v>
      </c>
      <c r="I21" s="9">
        <f>IF(OR(weather_data!H21="light rain",weather_data!H21="moderate rain",weather_data!H21="drizzle",weather_data!H21="thunderstorm"),1,0)</f>
        <v>0</v>
      </c>
      <c r="J21" s="9">
        <f>IF(weather_data!I21&gt;=25,1,0)</f>
        <v>0</v>
      </c>
    </row>
    <row r="22" spans="1:10" x14ac:dyDescent="0.25">
      <c r="A22" s="7">
        <f>weather_data!B22</f>
        <v>45774.673611111109</v>
      </c>
      <c r="B22" s="8">
        <f t="shared" si="0"/>
        <v>45774</v>
      </c>
      <c r="C22" s="9" t="str">
        <f t="shared" si="1"/>
        <v>yyyy-04</v>
      </c>
      <c r="D22" s="9">
        <f t="shared" si="2"/>
        <v>4</v>
      </c>
      <c r="E22" s="9" t="str">
        <f t="shared" si="3"/>
        <v>kwiecień</v>
      </c>
      <c r="F22" s="9" t="str">
        <f t="shared" si="4"/>
        <v>Q2</v>
      </c>
      <c r="G22" s="9" t="str">
        <f t="shared" si="5"/>
        <v>Spring</v>
      </c>
      <c r="H22" s="10">
        <f>weather_data!E22-weather_data!D22</f>
        <v>1</v>
      </c>
      <c r="I22" s="9">
        <f>IF(OR(weather_data!H22="light rain",weather_data!H22="moderate rain",weather_data!H22="drizzle",weather_data!H22="thunderstorm"),1,0)</f>
        <v>0</v>
      </c>
      <c r="J22" s="9">
        <f>IF(weather_data!I22&gt;=25,1,0)</f>
        <v>0</v>
      </c>
    </row>
    <row r="23" spans="1:10" x14ac:dyDescent="0.25">
      <c r="A23" s="7">
        <f>weather_data!B23</f>
        <v>45775.590277777781</v>
      </c>
      <c r="B23" s="8">
        <f t="shared" si="0"/>
        <v>45775</v>
      </c>
      <c r="C23" s="9" t="str">
        <f t="shared" si="1"/>
        <v>yyyy-04</v>
      </c>
      <c r="D23" s="9">
        <f t="shared" si="2"/>
        <v>4</v>
      </c>
      <c r="E23" s="9" t="str">
        <f t="shared" si="3"/>
        <v>kwiecień</v>
      </c>
      <c r="F23" s="9" t="str">
        <f t="shared" si="4"/>
        <v>Q2</v>
      </c>
      <c r="G23" s="9" t="str">
        <f t="shared" si="5"/>
        <v>Spring</v>
      </c>
      <c r="H23" s="10">
        <f>weather_data!E23-weather_data!D23</f>
        <v>-1</v>
      </c>
      <c r="I23" s="9">
        <f>IF(OR(weather_data!H23="light rain",weather_data!H23="moderate rain",weather_data!H23="drizzle",weather_data!H23="thunderstorm"),1,0)</f>
        <v>0</v>
      </c>
      <c r="J23" s="9">
        <f>IF(weather_data!I23&gt;=25,1,0)</f>
        <v>0</v>
      </c>
    </row>
    <row r="24" spans="1:10" x14ac:dyDescent="0.25">
      <c r="A24" s="7">
        <f>weather_data!B24</f>
        <v>45776.861111111109</v>
      </c>
      <c r="B24" s="8">
        <f t="shared" si="0"/>
        <v>45776</v>
      </c>
      <c r="C24" s="9" t="str">
        <f t="shared" si="1"/>
        <v>yyyy-04</v>
      </c>
      <c r="D24" s="9">
        <f t="shared" si="2"/>
        <v>4</v>
      </c>
      <c r="E24" s="9" t="str">
        <f t="shared" si="3"/>
        <v>kwiecień</v>
      </c>
      <c r="F24" s="9" t="str">
        <f t="shared" si="4"/>
        <v>Q2</v>
      </c>
      <c r="G24" s="9" t="str">
        <f t="shared" si="5"/>
        <v>Spring</v>
      </c>
      <c r="H24" s="10">
        <f>weather_data!E24-weather_data!D24</f>
        <v>-0.19999999999999929</v>
      </c>
      <c r="I24" s="9">
        <f>IF(OR(weather_data!H24="light rain",weather_data!H24="moderate rain",weather_data!H24="drizzle",weather_data!H24="thunderstorm"),1,0)</f>
        <v>0</v>
      </c>
      <c r="J24" s="9">
        <f>IF(weather_data!I24&gt;=25,1,0)</f>
        <v>0</v>
      </c>
    </row>
    <row r="25" spans="1:10" x14ac:dyDescent="0.25">
      <c r="A25" s="7">
        <f>weather_data!B25</f>
        <v>45777.819444444453</v>
      </c>
      <c r="B25" s="8">
        <f t="shared" si="0"/>
        <v>45777</v>
      </c>
      <c r="C25" s="9" t="str">
        <f t="shared" si="1"/>
        <v>yyyy-04</v>
      </c>
      <c r="D25" s="9">
        <f t="shared" si="2"/>
        <v>4</v>
      </c>
      <c r="E25" s="9" t="str">
        <f t="shared" si="3"/>
        <v>kwiecień</v>
      </c>
      <c r="F25" s="9" t="str">
        <f t="shared" si="4"/>
        <v>Q2</v>
      </c>
      <c r="G25" s="9" t="str">
        <f t="shared" si="5"/>
        <v>Spring</v>
      </c>
      <c r="H25" s="10">
        <f>weather_data!E25-weather_data!D25</f>
        <v>-0.19999999999999929</v>
      </c>
      <c r="I25" s="9">
        <f>IF(OR(weather_data!H25="light rain",weather_data!H25="moderate rain",weather_data!H25="drizzle",weather_data!H25="thunderstorm"),1,0)</f>
        <v>0</v>
      </c>
      <c r="J25" s="9">
        <f>IF(weather_data!I25&gt;=25,1,0)</f>
        <v>0</v>
      </c>
    </row>
    <row r="26" spans="1:10" x14ac:dyDescent="0.25">
      <c r="A26" s="7">
        <f>weather_data!B26</f>
        <v>45778.25</v>
      </c>
      <c r="B26" s="8">
        <f t="shared" si="0"/>
        <v>45778</v>
      </c>
      <c r="C26" s="9" t="str">
        <f t="shared" si="1"/>
        <v>yyyy-05</v>
      </c>
      <c r="D26" s="9">
        <f t="shared" si="2"/>
        <v>5</v>
      </c>
      <c r="E26" s="9" t="str">
        <f t="shared" si="3"/>
        <v>maj</v>
      </c>
      <c r="F26" s="9" t="str">
        <f t="shared" si="4"/>
        <v>Q2</v>
      </c>
      <c r="G26" s="9" t="str">
        <f t="shared" si="5"/>
        <v>Spring</v>
      </c>
      <c r="H26" s="10">
        <f>weather_data!E26-weather_data!D26</f>
        <v>1.2000000000000011</v>
      </c>
      <c r="I26" s="9">
        <f>IF(OR(weather_data!H26="light rain",weather_data!H26="moderate rain",weather_data!H26="drizzle",weather_data!H26="thunderstorm"),1,0)</f>
        <v>0</v>
      </c>
      <c r="J26" s="9">
        <f>IF(weather_data!I26&gt;=25,1,0)</f>
        <v>0</v>
      </c>
    </row>
    <row r="27" spans="1:10" x14ac:dyDescent="0.25">
      <c r="A27" s="7">
        <f>weather_data!B27</f>
        <v>45779.368055555547</v>
      </c>
      <c r="B27" s="8">
        <f t="shared" si="0"/>
        <v>45779</v>
      </c>
      <c r="C27" s="9" t="str">
        <f t="shared" si="1"/>
        <v>yyyy-05</v>
      </c>
      <c r="D27" s="9">
        <f t="shared" si="2"/>
        <v>5</v>
      </c>
      <c r="E27" s="9" t="str">
        <f t="shared" si="3"/>
        <v>maj</v>
      </c>
      <c r="F27" s="9" t="str">
        <f t="shared" si="4"/>
        <v>Q2</v>
      </c>
      <c r="G27" s="9" t="str">
        <f t="shared" si="5"/>
        <v>Spring</v>
      </c>
      <c r="H27" s="10">
        <f>weather_data!E27-weather_data!D27</f>
        <v>-9.9999999999997868E-2</v>
      </c>
      <c r="I27" s="9">
        <f>IF(OR(weather_data!H27="light rain",weather_data!H27="moderate rain",weather_data!H27="drizzle",weather_data!H27="thunderstorm"),1,0)</f>
        <v>0</v>
      </c>
      <c r="J27" s="9">
        <f>IF(weather_data!I27&gt;=25,1,0)</f>
        <v>0</v>
      </c>
    </row>
    <row r="28" spans="1:10" x14ac:dyDescent="0.25">
      <c r="A28" s="7">
        <f>weather_data!B28</f>
        <v>45780.444444444453</v>
      </c>
      <c r="B28" s="8">
        <f t="shared" si="0"/>
        <v>45780</v>
      </c>
      <c r="C28" s="9" t="str">
        <f t="shared" si="1"/>
        <v>yyyy-05</v>
      </c>
      <c r="D28" s="9">
        <f t="shared" si="2"/>
        <v>5</v>
      </c>
      <c r="E28" s="9" t="str">
        <f t="shared" si="3"/>
        <v>maj</v>
      </c>
      <c r="F28" s="9" t="str">
        <f t="shared" si="4"/>
        <v>Q2</v>
      </c>
      <c r="G28" s="9" t="str">
        <f t="shared" si="5"/>
        <v>Spring</v>
      </c>
      <c r="H28" s="10">
        <f>weather_data!E28-weather_data!D28</f>
        <v>-9.9999999999997868E-2</v>
      </c>
      <c r="I28" s="9">
        <f>IF(OR(weather_data!H28="light rain",weather_data!H28="moderate rain",weather_data!H28="drizzle",weather_data!H28="thunderstorm"),1,0)</f>
        <v>0</v>
      </c>
      <c r="J28" s="9">
        <f>IF(weather_data!I28&gt;=25,1,0)</f>
        <v>0</v>
      </c>
    </row>
    <row r="29" spans="1:10" x14ac:dyDescent="0.25">
      <c r="A29" s="7">
        <f>weather_data!B29</f>
        <v>45781.305555555547</v>
      </c>
      <c r="B29" s="8">
        <f t="shared" si="0"/>
        <v>45781</v>
      </c>
      <c r="C29" s="9" t="str">
        <f t="shared" si="1"/>
        <v>yyyy-05</v>
      </c>
      <c r="D29" s="9">
        <f t="shared" si="2"/>
        <v>5</v>
      </c>
      <c r="E29" s="9" t="str">
        <f t="shared" si="3"/>
        <v>maj</v>
      </c>
      <c r="F29" s="9" t="str">
        <f t="shared" si="4"/>
        <v>Q2</v>
      </c>
      <c r="G29" s="9" t="str">
        <f t="shared" si="5"/>
        <v>Spring</v>
      </c>
      <c r="H29" s="10">
        <f>weather_data!E29-weather_data!D29</f>
        <v>1.1999999999999993</v>
      </c>
      <c r="I29" s="9">
        <f>IF(OR(weather_data!H29="light rain",weather_data!H29="moderate rain",weather_data!H29="drizzle",weather_data!H29="thunderstorm"),1,0)</f>
        <v>0</v>
      </c>
      <c r="J29" s="9">
        <f>IF(weather_data!I29&gt;=25,1,0)</f>
        <v>0</v>
      </c>
    </row>
    <row r="30" spans="1:10" x14ac:dyDescent="0.25">
      <c r="A30" s="7">
        <f>weather_data!B30</f>
        <v>45782.4375</v>
      </c>
      <c r="B30" s="8">
        <f t="shared" si="0"/>
        <v>45782</v>
      </c>
      <c r="C30" s="9" t="str">
        <f t="shared" si="1"/>
        <v>yyyy-05</v>
      </c>
      <c r="D30" s="9">
        <f t="shared" si="2"/>
        <v>5</v>
      </c>
      <c r="E30" s="9" t="str">
        <f t="shared" si="3"/>
        <v>maj</v>
      </c>
      <c r="F30" s="9" t="str">
        <f t="shared" si="4"/>
        <v>Q2</v>
      </c>
      <c r="G30" s="9" t="str">
        <f t="shared" si="5"/>
        <v>Spring</v>
      </c>
      <c r="H30" s="10">
        <f>weather_data!E30-weather_data!D30</f>
        <v>-0.79999999999999893</v>
      </c>
      <c r="I30" s="9">
        <f>IF(OR(weather_data!H30="light rain",weather_data!H30="moderate rain",weather_data!H30="drizzle",weather_data!H30="thunderstorm"),1,0)</f>
        <v>0</v>
      </c>
      <c r="J30" s="9">
        <f>IF(weather_data!I30&gt;=25,1,0)</f>
        <v>0</v>
      </c>
    </row>
    <row r="31" spans="1:10" x14ac:dyDescent="0.25">
      <c r="A31" s="7">
        <f>weather_data!B31</f>
        <v>45783.416666666657</v>
      </c>
      <c r="B31" s="8">
        <f t="shared" si="0"/>
        <v>45783</v>
      </c>
      <c r="C31" s="9" t="str">
        <f t="shared" si="1"/>
        <v>yyyy-05</v>
      </c>
      <c r="D31" s="9">
        <f t="shared" si="2"/>
        <v>5</v>
      </c>
      <c r="E31" s="9" t="str">
        <f t="shared" si="3"/>
        <v>maj</v>
      </c>
      <c r="F31" s="9" t="str">
        <f t="shared" si="4"/>
        <v>Q2</v>
      </c>
      <c r="G31" s="9" t="str">
        <f t="shared" si="5"/>
        <v>Spring</v>
      </c>
      <c r="H31" s="10">
        <f>weather_data!E31-weather_data!D31</f>
        <v>1</v>
      </c>
      <c r="I31" s="9">
        <f>IF(OR(weather_data!H31="light rain",weather_data!H31="moderate rain",weather_data!H31="drizzle",weather_data!H31="thunderstorm"),1,0)</f>
        <v>0</v>
      </c>
      <c r="J31" s="9">
        <f>IF(weather_data!I31&gt;=25,1,0)</f>
        <v>0</v>
      </c>
    </row>
    <row r="32" spans="1:10" x14ac:dyDescent="0.25">
      <c r="A32" s="7">
        <f>weather_data!B32</f>
        <v>45784.638888888891</v>
      </c>
      <c r="B32" s="8">
        <f t="shared" si="0"/>
        <v>45784</v>
      </c>
      <c r="C32" s="9" t="str">
        <f t="shared" si="1"/>
        <v>yyyy-05</v>
      </c>
      <c r="D32" s="9">
        <f t="shared" si="2"/>
        <v>5</v>
      </c>
      <c r="E32" s="9" t="str">
        <f t="shared" si="3"/>
        <v>maj</v>
      </c>
      <c r="F32" s="9" t="str">
        <f t="shared" si="4"/>
        <v>Q2</v>
      </c>
      <c r="G32" s="9" t="str">
        <f t="shared" si="5"/>
        <v>Spring</v>
      </c>
      <c r="H32" s="10">
        <f>weather_data!E32-weather_data!D32</f>
        <v>9.9999999999997868E-2</v>
      </c>
      <c r="I32" s="9">
        <f>IF(OR(weather_data!H32="light rain",weather_data!H32="moderate rain",weather_data!H32="drizzle",weather_data!H32="thunderstorm"),1,0)</f>
        <v>0</v>
      </c>
      <c r="J32" s="9">
        <f>IF(weather_data!I32&gt;=25,1,0)</f>
        <v>0</v>
      </c>
    </row>
    <row r="33" spans="1:10" x14ac:dyDescent="0.25">
      <c r="A33" s="7">
        <f>weather_data!B33</f>
        <v>45785.305555555547</v>
      </c>
      <c r="B33" s="8">
        <f t="shared" si="0"/>
        <v>45785</v>
      </c>
      <c r="C33" s="9" t="str">
        <f t="shared" si="1"/>
        <v>yyyy-05</v>
      </c>
      <c r="D33" s="9">
        <f t="shared" si="2"/>
        <v>5</v>
      </c>
      <c r="E33" s="9" t="str">
        <f t="shared" si="3"/>
        <v>maj</v>
      </c>
      <c r="F33" s="9" t="str">
        <f t="shared" si="4"/>
        <v>Q2</v>
      </c>
      <c r="G33" s="9" t="str">
        <f t="shared" si="5"/>
        <v>Spring</v>
      </c>
      <c r="H33" s="10">
        <f>weather_data!E33-weather_data!D33</f>
        <v>0.39999999999999858</v>
      </c>
      <c r="I33" s="9">
        <f>IF(OR(weather_data!H33="light rain",weather_data!H33="moderate rain",weather_data!H33="drizzle",weather_data!H33="thunderstorm"),1,0)</f>
        <v>0</v>
      </c>
      <c r="J33" s="9">
        <f>IF(weather_data!I33&gt;=25,1,0)</f>
        <v>0</v>
      </c>
    </row>
    <row r="34" spans="1:10" x14ac:dyDescent="0.25">
      <c r="A34" s="7">
        <f>weather_data!B34</f>
        <v>45786.534722222219</v>
      </c>
      <c r="B34" s="8">
        <f t="shared" si="0"/>
        <v>45786</v>
      </c>
      <c r="C34" s="9" t="str">
        <f t="shared" si="1"/>
        <v>yyyy-05</v>
      </c>
      <c r="D34" s="9">
        <f t="shared" si="2"/>
        <v>5</v>
      </c>
      <c r="E34" s="9" t="str">
        <f t="shared" si="3"/>
        <v>maj</v>
      </c>
      <c r="F34" s="9" t="str">
        <f t="shared" si="4"/>
        <v>Q2</v>
      </c>
      <c r="G34" s="9" t="str">
        <f t="shared" si="5"/>
        <v>Spring</v>
      </c>
      <c r="H34" s="10">
        <f>weather_data!E34-weather_data!D34</f>
        <v>1.1999999999999993</v>
      </c>
      <c r="I34" s="9">
        <f>IF(OR(weather_data!H34="light rain",weather_data!H34="moderate rain",weather_data!H34="drizzle",weather_data!H34="thunderstorm"),1,0)</f>
        <v>0</v>
      </c>
      <c r="J34" s="9">
        <f>IF(weather_data!I34&gt;=25,1,0)</f>
        <v>0</v>
      </c>
    </row>
    <row r="35" spans="1:10" x14ac:dyDescent="0.25">
      <c r="A35" s="7">
        <f>weather_data!B35</f>
        <v>45787.576388888891</v>
      </c>
      <c r="B35" s="8">
        <f t="shared" si="0"/>
        <v>45787</v>
      </c>
      <c r="C35" s="9" t="str">
        <f t="shared" si="1"/>
        <v>yyyy-05</v>
      </c>
      <c r="D35" s="9">
        <f t="shared" si="2"/>
        <v>5</v>
      </c>
      <c r="E35" s="9" t="str">
        <f t="shared" si="3"/>
        <v>maj</v>
      </c>
      <c r="F35" s="9" t="str">
        <f t="shared" si="4"/>
        <v>Q2</v>
      </c>
      <c r="G35" s="9" t="str">
        <f t="shared" si="5"/>
        <v>Spring</v>
      </c>
      <c r="H35" s="10">
        <f>weather_data!E35-weather_data!D35</f>
        <v>-0.30000000000000071</v>
      </c>
      <c r="I35" s="9">
        <f>IF(OR(weather_data!H35="light rain",weather_data!H35="moderate rain",weather_data!H35="drizzle",weather_data!H35="thunderstorm"),1,0)</f>
        <v>0</v>
      </c>
      <c r="J35" s="9">
        <f>IF(weather_data!I35&gt;=25,1,0)</f>
        <v>0</v>
      </c>
    </row>
    <row r="36" spans="1:10" x14ac:dyDescent="0.25">
      <c r="A36" s="7">
        <f>weather_data!B36</f>
        <v>45788.388888888891</v>
      </c>
      <c r="B36" s="8">
        <f t="shared" si="0"/>
        <v>45788</v>
      </c>
      <c r="C36" s="9" t="str">
        <f t="shared" si="1"/>
        <v>yyyy-05</v>
      </c>
      <c r="D36" s="9">
        <f t="shared" si="2"/>
        <v>5</v>
      </c>
      <c r="E36" s="9" t="str">
        <f t="shared" si="3"/>
        <v>maj</v>
      </c>
      <c r="F36" s="9" t="str">
        <f t="shared" si="4"/>
        <v>Q2</v>
      </c>
      <c r="G36" s="9" t="str">
        <f t="shared" si="5"/>
        <v>Spring</v>
      </c>
      <c r="H36" s="10">
        <f>weather_data!E36-weather_data!D36</f>
        <v>0.69999999999999929</v>
      </c>
      <c r="I36" s="9">
        <f>IF(OR(weather_data!H36="light rain",weather_data!H36="moderate rain",weather_data!H36="drizzle",weather_data!H36="thunderstorm"),1,0)</f>
        <v>0</v>
      </c>
      <c r="J36" s="9">
        <f>IF(weather_data!I36&gt;=25,1,0)</f>
        <v>0</v>
      </c>
    </row>
    <row r="37" spans="1:10" x14ac:dyDescent="0.25">
      <c r="A37" s="7">
        <f>weather_data!B37</f>
        <v>45789.819444444453</v>
      </c>
      <c r="B37" s="8">
        <f t="shared" si="0"/>
        <v>45789</v>
      </c>
      <c r="C37" s="9" t="str">
        <f t="shared" si="1"/>
        <v>yyyy-05</v>
      </c>
      <c r="D37" s="9">
        <f t="shared" si="2"/>
        <v>5</v>
      </c>
      <c r="E37" s="9" t="str">
        <f t="shared" si="3"/>
        <v>maj</v>
      </c>
      <c r="F37" s="9" t="str">
        <f t="shared" si="4"/>
        <v>Q2</v>
      </c>
      <c r="G37" s="9" t="str">
        <f t="shared" si="5"/>
        <v>Spring</v>
      </c>
      <c r="H37" s="10">
        <f>weather_data!E37-weather_data!D37</f>
        <v>-0.69999999999999929</v>
      </c>
      <c r="I37" s="9">
        <f>IF(OR(weather_data!H37="light rain",weather_data!H37="moderate rain",weather_data!H37="drizzle",weather_data!H37="thunderstorm"),1,0)</f>
        <v>1</v>
      </c>
      <c r="J37" s="9">
        <f>IF(weather_data!I37&gt;=25,1,0)</f>
        <v>0</v>
      </c>
    </row>
    <row r="38" spans="1:10" x14ac:dyDescent="0.25">
      <c r="A38" s="7">
        <f>weather_data!B38</f>
        <v>45790.423611111109</v>
      </c>
      <c r="B38" s="8">
        <f t="shared" si="0"/>
        <v>45790</v>
      </c>
      <c r="C38" s="9" t="str">
        <f t="shared" si="1"/>
        <v>yyyy-05</v>
      </c>
      <c r="D38" s="9">
        <f t="shared" si="2"/>
        <v>5</v>
      </c>
      <c r="E38" s="9" t="str">
        <f t="shared" si="3"/>
        <v>maj</v>
      </c>
      <c r="F38" s="9" t="str">
        <f t="shared" si="4"/>
        <v>Q2</v>
      </c>
      <c r="G38" s="9" t="str">
        <f t="shared" si="5"/>
        <v>Spring</v>
      </c>
      <c r="H38" s="10">
        <f>weather_data!E38-weather_data!D38</f>
        <v>1</v>
      </c>
      <c r="I38" s="9">
        <f>IF(OR(weather_data!H38="light rain",weather_data!H38="moderate rain",weather_data!H38="drizzle",weather_data!H38="thunderstorm"),1,0)</f>
        <v>0</v>
      </c>
      <c r="J38" s="9">
        <f>IF(weather_data!I38&gt;=25,1,0)</f>
        <v>0</v>
      </c>
    </row>
    <row r="39" spans="1:10" x14ac:dyDescent="0.25">
      <c r="A39" s="7">
        <f>weather_data!B39</f>
        <v>45791.465277777781</v>
      </c>
      <c r="B39" s="8">
        <f t="shared" si="0"/>
        <v>45791</v>
      </c>
      <c r="C39" s="9" t="str">
        <f t="shared" si="1"/>
        <v>yyyy-05</v>
      </c>
      <c r="D39" s="9">
        <f t="shared" si="2"/>
        <v>5</v>
      </c>
      <c r="E39" s="9" t="str">
        <f t="shared" si="3"/>
        <v>maj</v>
      </c>
      <c r="F39" s="9" t="str">
        <f t="shared" si="4"/>
        <v>Q2</v>
      </c>
      <c r="G39" s="9" t="str">
        <f t="shared" si="5"/>
        <v>Spring</v>
      </c>
      <c r="H39" s="10">
        <f>weather_data!E39-weather_data!D39</f>
        <v>-0.89999999999999858</v>
      </c>
      <c r="I39" s="9">
        <f>IF(OR(weather_data!H39="light rain",weather_data!H39="moderate rain",weather_data!H39="drizzle",weather_data!H39="thunderstorm"),1,0)</f>
        <v>0</v>
      </c>
      <c r="J39" s="9">
        <f>IF(weather_data!I39&gt;=25,1,0)</f>
        <v>0</v>
      </c>
    </row>
    <row r="40" spans="1:10" x14ac:dyDescent="0.25">
      <c r="A40" s="7">
        <f>weather_data!B40</f>
        <v>45792.791666666657</v>
      </c>
      <c r="B40" s="8">
        <f t="shared" si="0"/>
        <v>45792</v>
      </c>
      <c r="C40" s="9" t="str">
        <f t="shared" si="1"/>
        <v>yyyy-05</v>
      </c>
      <c r="D40" s="9">
        <f t="shared" si="2"/>
        <v>5</v>
      </c>
      <c r="E40" s="9" t="str">
        <f t="shared" si="3"/>
        <v>maj</v>
      </c>
      <c r="F40" s="9" t="str">
        <f t="shared" si="4"/>
        <v>Q2</v>
      </c>
      <c r="G40" s="9" t="str">
        <f t="shared" si="5"/>
        <v>Spring</v>
      </c>
      <c r="H40" s="10">
        <f>weather_data!E40-weather_data!D40</f>
        <v>0.39999999999999858</v>
      </c>
      <c r="I40" s="9">
        <f>IF(OR(weather_data!H40="light rain",weather_data!H40="moderate rain",weather_data!H40="drizzle",weather_data!H40="thunderstorm"),1,0)</f>
        <v>0</v>
      </c>
      <c r="J40" s="9">
        <f>IF(weather_data!I40&gt;=25,1,0)</f>
        <v>0</v>
      </c>
    </row>
    <row r="41" spans="1:10" x14ac:dyDescent="0.25">
      <c r="A41" s="7">
        <f>weather_data!B41</f>
        <v>45793.493055555547</v>
      </c>
      <c r="B41" s="8">
        <f t="shared" si="0"/>
        <v>45793</v>
      </c>
      <c r="C41" s="9" t="str">
        <f t="shared" si="1"/>
        <v>yyyy-05</v>
      </c>
      <c r="D41" s="9">
        <f t="shared" si="2"/>
        <v>5</v>
      </c>
      <c r="E41" s="9" t="str">
        <f t="shared" si="3"/>
        <v>maj</v>
      </c>
      <c r="F41" s="9" t="str">
        <f t="shared" si="4"/>
        <v>Q2</v>
      </c>
      <c r="G41" s="9" t="str">
        <f t="shared" si="5"/>
        <v>Spring</v>
      </c>
      <c r="H41" s="10">
        <f>weather_data!E41-weather_data!D41</f>
        <v>-1.1000000000000014</v>
      </c>
      <c r="I41" s="9">
        <f>IF(OR(weather_data!H41="light rain",weather_data!H41="moderate rain",weather_data!H41="drizzle",weather_data!H41="thunderstorm"),1,0)</f>
        <v>0</v>
      </c>
      <c r="J41" s="9">
        <f>IF(weather_data!I41&gt;=25,1,0)</f>
        <v>0</v>
      </c>
    </row>
    <row r="42" spans="1:10" x14ac:dyDescent="0.25">
      <c r="A42" s="7">
        <f>weather_data!B42</f>
        <v>45794.6875</v>
      </c>
      <c r="B42" s="8">
        <f t="shared" si="0"/>
        <v>45794</v>
      </c>
      <c r="C42" s="9" t="str">
        <f t="shared" si="1"/>
        <v>yyyy-05</v>
      </c>
      <c r="D42" s="9">
        <f t="shared" si="2"/>
        <v>5</v>
      </c>
      <c r="E42" s="9" t="str">
        <f t="shared" si="3"/>
        <v>maj</v>
      </c>
      <c r="F42" s="9" t="str">
        <f t="shared" si="4"/>
        <v>Q2</v>
      </c>
      <c r="G42" s="9" t="str">
        <f t="shared" si="5"/>
        <v>Spring</v>
      </c>
      <c r="H42" s="10">
        <f>weather_data!E42-weather_data!D42</f>
        <v>0.40000000000000213</v>
      </c>
      <c r="I42" s="9">
        <f>IF(OR(weather_data!H42="light rain",weather_data!H42="moderate rain",weather_data!H42="drizzle",weather_data!H42="thunderstorm"),1,0)</f>
        <v>0</v>
      </c>
      <c r="J42" s="9">
        <f>IF(weather_data!I42&gt;=25,1,0)</f>
        <v>0</v>
      </c>
    </row>
    <row r="43" spans="1:10" x14ac:dyDescent="0.25">
      <c r="A43" s="7">
        <f>weather_data!B43</f>
        <v>45795.555555555547</v>
      </c>
      <c r="B43" s="8">
        <f t="shared" si="0"/>
        <v>45795</v>
      </c>
      <c r="C43" s="9" t="str">
        <f t="shared" si="1"/>
        <v>yyyy-05</v>
      </c>
      <c r="D43" s="9">
        <f t="shared" si="2"/>
        <v>5</v>
      </c>
      <c r="E43" s="9" t="str">
        <f t="shared" si="3"/>
        <v>maj</v>
      </c>
      <c r="F43" s="9" t="str">
        <f t="shared" si="4"/>
        <v>Q2</v>
      </c>
      <c r="G43" s="9" t="str">
        <f t="shared" si="5"/>
        <v>Spring</v>
      </c>
      <c r="H43" s="10">
        <f>weather_data!E43-weather_data!D43</f>
        <v>-0.60000000000000142</v>
      </c>
      <c r="I43" s="9">
        <f>IF(OR(weather_data!H43="light rain",weather_data!H43="moderate rain",weather_data!H43="drizzle",weather_data!H43="thunderstorm"),1,0)</f>
        <v>0</v>
      </c>
      <c r="J43" s="9">
        <f>IF(weather_data!I43&gt;=25,1,0)</f>
        <v>0</v>
      </c>
    </row>
    <row r="44" spans="1:10" x14ac:dyDescent="0.25">
      <c r="A44" s="7">
        <f>weather_data!B44</f>
        <v>45796.493055555547</v>
      </c>
      <c r="B44" s="8">
        <f t="shared" si="0"/>
        <v>45796</v>
      </c>
      <c r="C44" s="9" t="str">
        <f t="shared" si="1"/>
        <v>yyyy-05</v>
      </c>
      <c r="D44" s="9">
        <f t="shared" si="2"/>
        <v>5</v>
      </c>
      <c r="E44" s="9" t="str">
        <f t="shared" si="3"/>
        <v>maj</v>
      </c>
      <c r="F44" s="9" t="str">
        <f t="shared" si="4"/>
        <v>Q2</v>
      </c>
      <c r="G44" s="9" t="str">
        <f t="shared" si="5"/>
        <v>Spring</v>
      </c>
      <c r="H44" s="10">
        <f>weather_data!E44-weather_data!D44</f>
        <v>0.60000000000000142</v>
      </c>
      <c r="I44" s="9">
        <f>IF(OR(weather_data!H44="light rain",weather_data!H44="moderate rain",weather_data!H44="drizzle",weather_data!H44="thunderstorm"),1,0)</f>
        <v>1</v>
      </c>
      <c r="J44" s="9">
        <f>IF(weather_data!I44&gt;=25,1,0)</f>
        <v>0</v>
      </c>
    </row>
    <row r="45" spans="1:10" x14ac:dyDescent="0.25">
      <c r="A45" s="7">
        <f>weather_data!B45</f>
        <v>45797.395833333343</v>
      </c>
      <c r="B45" s="8">
        <f t="shared" si="0"/>
        <v>45797</v>
      </c>
      <c r="C45" s="9" t="str">
        <f t="shared" si="1"/>
        <v>yyyy-05</v>
      </c>
      <c r="D45" s="9">
        <f t="shared" si="2"/>
        <v>5</v>
      </c>
      <c r="E45" s="9" t="str">
        <f t="shared" si="3"/>
        <v>maj</v>
      </c>
      <c r="F45" s="9" t="str">
        <f t="shared" si="4"/>
        <v>Q2</v>
      </c>
      <c r="G45" s="9" t="str">
        <f t="shared" si="5"/>
        <v>Spring</v>
      </c>
      <c r="H45" s="10">
        <f>weather_data!E45-weather_data!D45</f>
        <v>0.79999999999999716</v>
      </c>
      <c r="I45" s="9">
        <f>IF(OR(weather_data!H45="light rain",weather_data!H45="moderate rain",weather_data!H45="drizzle",weather_data!H45="thunderstorm"),1,0)</f>
        <v>1</v>
      </c>
      <c r="J45" s="9">
        <f>IF(weather_data!I45&gt;=25,1,0)</f>
        <v>1</v>
      </c>
    </row>
    <row r="46" spans="1:10" x14ac:dyDescent="0.25">
      <c r="A46" s="7">
        <f>weather_data!B46</f>
        <v>45798.3125</v>
      </c>
      <c r="B46" s="8">
        <f t="shared" si="0"/>
        <v>45798</v>
      </c>
      <c r="C46" s="9" t="str">
        <f t="shared" si="1"/>
        <v>yyyy-05</v>
      </c>
      <c r="D46" s="9">
        <f t="shared" si="2"/>
        <v>5</v>
      </c>
      <c r="E46" s="9" t="str">
        <f t="shared" si="3"/>
        <v>maj</v>
      </c>
      <c r="F46" s="9" t="str">
        <f t="shared" si="4"/>
        <v>Q2</v>
      </c>
      <c r="G46" s="9" t="str">
        <f t="shared" si="5"/>
        <v>Spring</v>
      </c>
      <c r="H46" s="10">
        <f>weather_data!E46-weather_data!D46</f>
        <v>-1.0999999999999979</v>
      </c>
      <c r="I46" s="9">
        <f>IF(OR(weather_data!H46="light rain",weather_data!H46="moderate rain",weather_data!H46="drizzle",weather_data!H46="thunderstorm"),1,0)</f>
        <v>0</v>
      </c>
      <c r="J46" s="9">
        <f>IF(weather_data!I46&gt;=25,1,0)</f>
        <v>0</v>
      </c>
    </row>
    <row r="47" spans="1:10" x14ac:dyDescent="0.25">
      <c r="A47" s="7">
        <f>weather_data!B47</f>
        <v>45799.548611111109</v>
      </c>
      <c r="B47" s="8">
        <f t="shared" si="0"/>
        <v>45799</v>
      </c>
      <c r="C47" s="9" t="str">
        <f t="shared" si="1"/>
        <v>yyyy-05</v>
      </c>
      <c r="D47" s="9">
        <f t="shared" si="2"/>
        <v>5</v>
      </c>
      <c r="E47" s="9" t="str">
        <f t="shared" si="3"/>
        <v>maj</v>
      </c>
      <c r="F47" s="9" t="str">
        <f t="shared" si="4"/>
        <v>Q2</v>
      </c>
      <c r="G47" s="9" t="str">
        <f t="shared" si="5"/>
        <v>Spring</v>
      </c>
      <c r="H47" s="10">
        <f>weather_data!E47-weather_data!D47</f>
        <v>0.90000000000000213</v>
      </c>
      <c r="I47" s="9">
        <f>IF(OR(weather_data!H47="light rain",weather_data!H47="moderate rain",weather_data!H47="drizzle",weather_data!H47="thunderstorm"),1,0)</f>
        <v>0</v>
      </c>
      <c r="J47" s="9">
        <f>IF(weather_data!I47&gt;=25,1,0)</f>
        <v>0</v>
      </c>
    </row>
    <row r="48" spans="1:10" x14ac:dyDescent="0.25">
      <c r="A48" s="7">
        <f>weather_data!B48</f>
        <v>45800.847222222219</v>
      </c>
      <c r="B48" s="8">
        <f t="shared" si="0"/>
        <v>45800</v>
      </c>
      <c r="C48" s="9" t="str">
        <f t="shared" si="1"/>
        <v>yyyy-05</v>
      </c>
      <c r="D48" s="9">
        <f t="shared" si="2"/>
        <v>5</v>
      </c>
      <c r="E48" s="9" t="str">
        <f t="shared" si="3"/>
        <v>maj</v>
      </c>
      <c r="F48" s="9" t="str">
        <f t="shared" si="4"/>
        <v>Q2</v>
      </c>
      <c r="G48" s="9" t="str">
        <f t="shared" si="5"/>
        <v>Spring</v>
      </c>
      <c r="H48" s="10">
        <f>weather_data!E48-weather_data!D48</f>
        <v>-0.10000000000000142</v>
      </c>
      <c r="I48" s="9">
        <f>IF(OR(weather_data!H48="light rain",weather_data!H48="moderate rain",weather_data!H48="drizzle",weather_data!H48="thunderstorm"),1,0)</f>
        <v>0</v>
      </c>
      <c r="J48" s="9">
        <f>IF(weather_data!I48&gt;=25,1,0)</f>
        <v>0</v>
      </c>
    </row>
    <row r="49" spans="1:10" x14ac:dyDescent="0.25">
      <c r="A49" s="7">
        <f>weather_data!B49</f>
        <v>45801.631944444453</v>
      </c>
      <c r="B49" s="8">
        <f t="shared" si="0"/>
        <v>45801</v>
      </c>
      <c r="C49" s="9" t="str">
        <f t="shared" si="1"/>
        <v>yyyy-05</v>
      </c>
      <c r="D49" s="9">
        <f t="shared" si="2"/>
        <v>5</v>
      </c>
      <c r="E49" s="9" t="str">
        <f t="shared" si="3"/>
        <v>maj</v>
      </c>
      <c r="F49" s="9" t="str">
        <f t="shared" si="4"/>
        <v>Q2</v>
      </c>
      <c r="G49" s="9" t="str">
        <f t="shared" si="5"/>
        <v>Spring</v>
      </c>
      <c r="H49" s="10">
        <f>weather_data!E49-weather_data!D49</f>
        <v>1.0999999999999979</v>
      </c>
      <c r="I49" s="9">
        <f>IF(OR(weather_data!H49="light rain",weather_data!H49="moderate rain",weather_data!H49="drizzle",weather_data!H49="thunderstorm"),1,0)</f>
        <v>1</v>
      </c>
      <c r="J49" s="9">
        <f>IF(weather_data!I49&gt;=25,1,0)</f>
        <v>0</v>
      </c>
    </row>
    <row r="50" spans="1:10" x14ac:dyDescent="0.25">
      <c r="A50" s="7">
        <f>weather_data!B50</f>
        <v>45802.541666666657</v>
      </c>
      <c r="B50" s="8">
        <f t="shared" si="0"/>
        <v>45802</v>
      </c>
      <c r="C50" s="9" t="str">
        <f t="shared" si="1"/>
        <v>yyyy-05</v>
      </c>
      <c r="D50" s="9">
        <f t="shared" si="2"/>
        <v>5</v>
      </c>
      <c r="E50" s="9" t="str">
        <f t="shared" si="3"/>
        <v>maj</v>
      </c>
      <c r="F50" s="9" t="str">
        <f t="shared" si="4"/>
        <v>Q2</v>
      </c>
      <c r="G50" s="9" t="str">
        <f t="shared" si="5"/>
        <v>Spring</v>
      </c>
      <c r="H50" s="10">
        <f>weather_data!E50-weather_data!D50</f>
        <v>-0.90000000000000213</v>
      </c>
      <c r="I50" s="9">
        <f>IF(OR(weather_data!H50="light rain",weather_data!H50="moderate rain",weather_data!H50="drizzle",weather_data!H50="thunderstorm"),1,0)</f>
        <v>0</v>
      </c>
      <c r="J50" s="9">
        <f>IF(weather_data!I50&gt;=25,1,0)</f>
        <v>0</v>
      </c>
    </row>
    <row r="51" spans="1:10" x14ac:dyDescent="0.25">
      <c r="A51" s="7">
        <f>weather_data!B51</f>
        <v>45803.520833333343</v>
      </c>
      <c r="B51" s="8">
        <f t="shared" si="0"/>
        <v>45803</v>
      </c>
      <c r="C51" s="9" t="str">
        <f t="shared" si="1"/>
        <v>yyyy-05</v>
      </c>
      <c r="D51" s="9">
        <f t="shared" si="2"/>
        <v>5</v>
      </c>
      <c r="E51" s="9" t="str">
        <f t="shared" si="3"/>
        <v>maj</v>
      </c>
      <c r="F51" s="9" t="str">
        <f t="shared" si="4"/>
        <v>Q2</v>
      </c>
      <c r="G51" s="9" t="str">
        <f t="shared" si="5"/>
        <v>Spring</v>
      </c>
      <c r="H51" s="10">
        <f>weather_data!E51-weather_data!D51</f>
        <v>0.39999999999999858</v>
      </c>
      <c r="I51" s="9">
        <f>IF(OR(weather_data!H51="light rain",weather_data!H51="moderate rain",weather_data!H51="drizzle",weather_data!H51="thunderstorm"),1,0)</f>
        <v>0</v>
      </c>
      <c r="J51" s="9">
        <f>IF(weather_data!I51&gt;=25,1,0)</f>
        <v>0</v>
      </c>
    </row>
    <row r="52" spans="1:10" x14ac:dyDescent="0.25">
      <c r="A52" s="7">
        <f>weather_data!B52</f>
        <v>45804.680555555547</v>
      </c>
      <c r="B52" s="8">
        <f t="shared" si="0"/>
        <v>45804</v>
      </c>
      <c r="C52" s="9" t="str">
        <f t="shared" si="1"/>
        <v>yyyy-05</v>
      </c>
      <c r="D52" s="9">
        <f t="shared" si="2"/>
        <v>5</v>
      </c>
      <c r="E52" s="9" t="str">
        <f t="shared" si="3"/>
        <v>maj</v>
      </c>
      <c r="F52" s="9" t="str">
        <f t="shared" si="4"/>
        <v>Q2</v>
      </c>
      <c r="G52" s="9" t="str">
        <f t="shared" si="5"/>
        <v>Spring</v>
      </c>
      <c r="H52" s="10">
        <f>weather_data!E52-weather_data!D52</f>
        <v>0.80000000000000071</v>
      </c>
      <c r="I52" s="9">
        <f>IF(OR(weather_data!H52="light rain",weather_data!H52="moderate rain",weather_data!H52="drizzle",weather_data!H52="thunderstorm"),1,0)</f>
        <v>0</v>
      </c>
      <c r="J52" s="9">
        <f>IF(weather_data!I52&gt;=25,1,0)</f>
        <v>0</v>
      </c>
    </row>
    <row r="53" spans="1:10" x14ac:dyDescent="0.25">
      <c r="A53" s="7">
        <f>weather_data!B53</f>
        <v>45805.347222222219</v>
      </c>
      <c r="B53" s="8">
        <f t="shared" si="0"/>
        <v>45805</v>
      </c>
      <c r="C53" s="9" t="str">
        <f t="shared" si="1"/>
        <v>yyyy-05</v>
      </c>
      <c r="D53" s="9">
        <f t="shared" si="2"/>
        <v>5</v>
      </c>
      <c r="E53" s="9" t="str">
        <f t="shared" si="3"/>
        <v>maj</v>
      </c>
      <c r="F53" s="9" t="str">
        <f t="shared" si="4"/>
        <v>Q2</v>
      </c>
      <c r="G53" s="9" t="str">
        <f t="shared" si="5"/>
        <v>Spring</v>
      </c>
      <c r="H53" s="10">
        <f>weather_data!E53-weather_data!D53</f>
        <v>-0.10000000000000142</v>
      </c>
      <c r="I53" s="9">
        <f>IF(OR(weather_data!H53="light rain",weather_data!H53="moderate rain",weather_data!H53="drizzle",weather_data!H53="thunderstorm"),1,0)</f>
        <v>0</v>
      </c>
      <c r="J53" s="9">
        <f>IF(weather_data!I53&gt;=25,1,0)</f>
        <v>0</v>
      </c>
    </row>
    <row r="54" spans="1:10" x14ac:dyDescent="0.25">
      <c r="A54" s="7">
        <f>weather_data!B54</f>
        <v>45806.743055555547</v>
      </c>
      <c r="B54" s="8">
        <f t="shared" si="0"/>
        <v>45806</v>
      </c>
      <c r="C54" s="9" t="str">
        <f t="shared" si="1"/>
        <v>yyyy-05</v>
      </c>
      <c r="D54" s="9">
        <f t="shared" si="2"/>
        <v>5</v>
      </c>
      <c r="E54" s="9" t="str">
        <f t="shared" si="3"/>
        <v>maj</v>
      </c>
      <c r="F54" s="9" t="str">
        <f t="shared" si="4"/>
        <v>Q2</v>
      </c>
      <c r="G54" s="9" t="str">
        <f t="shared" si="5"/>
        <v>Spring</v>
      </c>
      <c r="H54" s="10">
        <f>weather_data!E54-weather_data!D54</f>
        <v>0.39999999999999858</v>
      </c>
      <c r="I54" s="9">
        <f>IF(OR(weather_data!H54="light rain",weather_data!H54="moderate rain",weather_data!H54="drizzle",weather_data!H54="thunderstorm"),1,0)</f>
        <v>0</v>
      </c>
      <c r="J54" s="9">
        <f>IF(weather_data!I54&gt;=25,1,0)</f>
        <v>1</v>
      </c>
    </row>
    <row r="55" spans="1:10" x14ac:dyDescent="0.25">
      <c r="A55" s="7">
        <f>weather_data!B55</f>
        <v>45808.784722222219</v>
      </c>
      <c r="B55" s="8">
        <f t="shared" si="0"/>
        <v>45808</v>
      </c>
      <c r="C55" s="9" t="str">
        <f t="shared" si="1"/>
        <v>yyyy-05</v>
      </c>
      <c r="D55" s="9">
        <f t="shared" si="2"/>
        <v>5</v>
      </c>
      <c r="E55" s="9" t="str">
        <f t="shared" si="3"/>
        <v>maj</v>
      </c>
      <c r="F55" s="9" t="str">
        <f t="shared" si="4"/>
        <v>Q2</v>
      </c>
      <c r="G55" s="9" t="str">
        <f t="shared" si="5"/>
        <v>Spring</v>
      </c>
      <c r="H55" s="10">
        <f>weather_data!E55-weather_data!D55</f>
        <v>0.80000000000000071</v>
      </c>
      <c r="I55" s="9">
        <f>IF(OR(weather_data!H55="light rain",weather_data!H55="moderate rain",weather_data!H55="drizzle",weather_data!H55="thunderstorm"),1,0)</f>
        <v>0</v>
      </c>
      <c r="J55" s="9">
        <f>IF(weather_data!I55&gt;=25,1,0)</f>
        <v>0</v>
      </c>
    </row>
    <row r="56" spans="1:10" x14ac:dyDescent="0.25">
      <c r="A56" s="7">
        <f>weather_data!B56</f>
        <v>45809.666666666657</v>
      </c>
      <c r="B56" s="8">
        <f t="shared" si="0"/>
        <v>45809</v>
      </c>
      <c r="C56" s="9" t="str">
        <f t="shared" si="1"/>
        <v>yyyy-06</v>
      </c>
      <c r="D56" s="9">
        <f t="shared" si="2"/>
        <v>6</v>
      </c>
      <c r="E56" s="9" t="str">
        <f t="shared" si="3"/>
        <v>czerwiec</v>
      </c>
      <c r="F56" s="9" t="str">
        <f t="shared" si="4"/>
        <v>Q2</v>
      </c>
      <c r="G56" s="9" t="str">
        <f t="shared" si="5"/>
        <v>Summer</v>
      </c>
      <c r="H56" s="10">
        <f>weather_data!E56-weather_data!D56</f>
        <v>0.19999999999999929</v>
      </c>
      <c r="I56" s="9">
        <f>IF(OR(weather_data!H56="light rain",weather_data!H56="moderate rain",weather_data!H56="drizzle",weather_data!H56="thunderstorm"),1,0)</f>
        <v>0</v>
      </c>
      <c r="J56" s="9">
        <f>IF(weather_data!I56&gt;=25,1,0)</f>
        <v>0</v>
      </c>
    </row>
    <row r="57" spans="1:10" x14ac:dyDescent="0.25">
      <c r="A57" s="7">
        <f>weather_data!B57</f>
        <v>45810.388888888891</v>
      </c>
      <c r="B57" s="8">
        <f t="shared" si="0"/>
        <v>45810</v>
      </c>
      <c r="C57" s="9" t="str">
        <f t="shared" si="1"/>
        <v>yyyy-06</v>
      </c>
      <c r="D57" s="9">
        <f t="shared" si="2"/>
        <v>6</v>
      </c>
      <c r="E57" s="9" t="str">
        <f t="shared" si="3"/>
        <v>czerwiec</v>
      </c>
      <c r="F57" s="9" t="str">
        <f t="shared" si="4"/>
        <v>Q2</v>
      </c>
      <c r="G57" s="9" t="str">
        <f t="shared" si="5"/>
        <v>Summer</v>
      </c>
      <c r="H57" s="10">
        <f>weather_data!E57-weather_data!D57</f>
        <v>0.90000000000000213</v>
      </c>
      <c r="I57" s="9">
        <f>IF(OR(weather_data!H57="light rain",weather_data!H57="moderate rain",weather_data!H57="drizzle",weather_data!H57="thunderstorm"),1,0)</f>
        <v>0</v>
      </c>
      <c r="J57" s="9">
        <f>IF(weather_data!I57&gt;=25,1,0)</f>
        <v>0</v>
      </c>
    </row>
    <row r="58" spans="1:10" x14ac:dyDescent="0.25">
      <c r="A58" s="7">
        <f>weather_data!B58</f>
        <v>45811.486111111109</v>
      </c>
      <c r="B58" s="8">
        <f t="shared" si="0"/>
        <v>45811</v>
      </c>
      <c r="C58" s="9" t="str">
        <f t="shared" si="1"/>
        <v>yyyy-06</v>
      </c>
      <c r="D58" s="9">
        <f t="shared" si="2"/>
        <v>6</v>
      </c>
      <c r="E58" s="9" t="str">
        <f t="shared" si="3"/>
        <v>czerwiec</v>
      </c>
      <c r="F58" s="9" t="str">
        <f t="shared" si="4"/>
        <v>Q2</v>
      </c>
      <c r="G58" s="9" t="str">
        <f t="shared" si="5"/>
        <v>Summer</v>
      </c>
      <c r="H58" s="10">
        <f>weather_data!E58-weather_data!D58</f>
        <v>-0.89999999999999858</v>
      </c>
      <c r="I58" s="9">
        <f>IF(OR(weather_data!H58="light rain",weather_data!H58="moderate rain",weather_data!H58="drizzle",weather_data!H58="thunderstorm"),1,0)</f>
        <v>0</v>
      </c>
      <c r="J58" s="9">
        <f>IF(weather_data!I58&gt;=25,1,0)</f>
        <v>0</v>
      </c>
    </row>
    <row r="59" spans="1:10" x14ac:dyDescent="0.25">
      <c r="A59" s="7">
        <f>weather_data!B59</f>
        <v>45812.583333333343</v>
      </c>
      <c r="B59" s="8">
        <f t="shared" si="0"/>
        <v>45812</v>
      </c>
      <c r="C59" s="9" t="str">
        <f t="shared" si="1"/>
        <v>yyyy-06</v>
      </c>
      <c r="D59" s="9">
        <f t="shared" si="2"/>
        <v>6</v>
      </c>
      <c r="E59" s="9" t="str">
        <f t="shared" si="3"/>
        <v>czerwiec</v>
      </c>
      <c r="F59" s="9" t="str">
        <f t="shared" si="4"/>
        <v>Q2</v>
      </c>
      <c r="G59" s="9" t="str">
        <f t="shared" si="5"/>
        <v>Summer</v>
      </c>
      <c r="H59" s="10">
        <f>weather_data!E59-weather_data!D59</f>
        <v>0.60000000000000142</v>
      </c>
      <c r="I59" s="9">
        <f>IF(OR(weather_data!H59="light rain",weather_data!H59="moderate rain",weather_data!H59="drizzle",weather_data!H59="thunderstorm"),1,0)</f>
        <v>0</v>
      </c>
      <c r="J59" s="9">
        <f>IF(weather_data!I59&gt;=25,1,0)</f>
        <v>0</v>
      </c>
    </row>
    <row r="60" spans="1:10" x14ac:dyDescent="0.25">
      <c r="A60" s="7">
        <f>weather_data!B60</f>
        <v>45813.402777777781</v>
      </c>
      <c r="B60" s="8">
        <f t="shared" si="0"/>
        <v>45813</v>
      </c>
      <c r="C60" s="9" t="str">
        <f t="shared" si="1"/>
        <v>yyyy-06</v>
      </c>
      <c r="D60" s="9">
        <f t="shared" si="2"/>
        <v>6</v>
      </c>
      <c r="E60" s="9" t="str">
        <f t="shared" si="3"/>
        <v>czerwiec</v>
      </c>
      <c r="F60" s="9" t="str">
        <f t="shared" si="4"/>
        <v>Q2</v>
      </c>
      <c r="G60" s="9" t="str">
        <f t="shared" si="5"/>
        <v>Summer</v>
      </c>
      <c r="H60" s="10">
        <f>weather_data!E60-weather_data!D60</f>
        <v>0.89999999999999858</v>
      </c>
      <c r="I60" s="9">
        <f>IF(OR(weather_data!H60="light rain",weather_data!H60="moderate rain",weather_data!H60="drizzle",weather_data!H60="thunderstorm"),1,0)</f>
        <v>0</v>
      </c>
      <c r="J60" s="9">
        <f>IF(weather_data!I60&gt;=25,1,0)</f>
        <v>0</v>
      </c>
    </row>
    <row r="61" spans="1:10" x14ac:dyDescent="0.25">
      <c r="A61" s="7">
        <f>weather_data!B61</f>
        <v>45814.805555555547</v>
      </c>
      <c r="B61" s="8">
        <f t="shared" si="0"/>
        <v>45814</v>
      </c>
      <c r="C61" s="9" t="str">
        <f t="shared" si="1"/>
        <v>yyyy-06</v>
      </c>
      <c r="D61" s="9">
        <f t="shared" si="2"/>
        <v>6</v>
      </c>
      <c r="E61" s="9" t="str">
        <f t="shared" si="3"/>
        <v>czerwiec</v>
      </c>
      <c r="F61" s="9" t="str">
        <f t="shared" si="4"/>
        <v>Q2</v>
      </c>
      <c r="G61" s="9" t="str">
        <f t="shared" si="5"/>
        <v>Summer</v>
      </c>
      <c r="H61" s="10">
        <f>weather_data!E61-weather_data!D61</f>
        <v>-0.10000000000000142</v>
      </c>
      <c r="I61" s="9">
        <f>IF(OR(weather_data!H61="light rain",weather_data!H61="moderate rain",weather_data!H61="drizzle",weather_data!H61="thunderstorm"),1,0)</f>
        <v>0</v>
      </c>
      <c r="J61" s="9">
        <f>IF(weather_data!I61&gt;=25,1,0)</f>
        <v>0</v>
      </c>
    </row>
    <row r="62" spans="1:10" x14ac:dyDescent="0.25">
      <c r="A62" s="7">
        <f>weather_data!B62</f>
        <v>45815.6875</v>
      </c>
      <c r="B62" s="8">
        <f t="shared" si="0"/>
        <v>45815</v>
      </c>
      <c r="C62" s="9" t="str">
        <f t="shared" si="1"/>
        <v>yyyy-06</v>
      </c>
      <c r="D62" s="9">
        <f t="shared" si="2"/>
        <v>6</v>
      </c>
      <c r="E62" s="9" t="str">
        <f t="shared" si="3"/>
        <v>czerwiec</v>
      </c>
      <c r="F62" s="9" t="str">
        <f t="shared" si="4"/>
        <v>Q2</v>
      </c>
      <c r="G62" s="9" t="str">
        <f t="shared" si="5"/>
        <v>Summer</v>
      </c>
      <c r="H62" s="10">
        <f>weather_data!E62-weather_data!D62</f>
        <v>-1.1000000000000014</v>
      </c>
      <c r="I62" s="9">
        <f>IF(OR(weather_data!H62="light rain",weather_data!H62="moderate rain",weather_data!H62="drizzle",weather_data!H62="thunderstorm"),1,0)</f>
        <v>1</v>
      </c>
      <c r="J62" s="9">
        <f>IF(weather_data!I62&gt;=25,1,0)</f>
        <v>0</v>
      </c>
    </row>
    <row r="63" spans="1:10" x14ac:dyDescent="0.25">
      <c r="A63" s="7">
        <f>weather_data!B63</f>
        <v>45816.395833333343</v>
      </c>
      <c r="B63" s="8">
        <f t="shared" si="0"/>
        <v>45816</v>
      </c>
      <c r="C63" s="9" t="str">
        <f t="shared" si="1"/>
        <v>yyyy-06</v>
      </c>
      <c r="D63" s="9">
        <f t="shared" si="2"/>
        <v>6</v>
      </c>
      <c r="E63" s="9" t="str">
        <f t="shared" si="3"/>
        <v>czerwiec</v>
      </c>
      <c r="F63" s="9" t="str">
        <f t="shared" si="4"/>
        <v>Q2</v>
      </c>
      <c r="G63" s="9" t="str">
        <f t="shared" si="5"/>
        <v>Summer</v>
      </c>
      <c r="H63" s="10">
        <f>weather_data!E63-weather_data!D63</f>
        <v>0.90000000000000213</v>
      </c>
      <c r="I63" s="9">
        <f>IF(OR(weather_data!H63="light rain",weather_data!H63="moderate rain",weather_data!H63="drizzle",weather_data!H63="thunderstorm"),1,0)</f>
        <v>0</v>
      </c>
      <c r="J63" s="9">
        <f>IF(weather_data!I63&gt;=25,1,0)</f>
        <v>0</v>
      </c>
    </row>
    <row r="64" spans="1:10" x14ac:dyDescent="0.25">
      <c r="A64" s="7">
        <f>weather_data!B64</f>
        <v>45817.513888888891</v>
      </c>
      <c r="B64" s="8">
        <f t="shared" si="0"/>
        <v>45817</v>
      </c>
      <c r="C64" s="9" t="str">
        <f t="shared" si="1"/>
        <v>yyyy-06</v>
      </c>
      <c r="D64" s="9">
        <f t="shared" si="2"/>
        <v>6</v>
      </c>
      <c r="E64" s="9" t="str">
        <f t="shared" si="3"/>
        <v>czerwiec</v>
      </c>
      <c r="F64" s="9" t="str">
        <f t="shared" si="4"/>
        <v>Q2</v>
      </c>
      <c r="G64" s="9" t="str">
        <f t="shared" si="5"/>
        <v>Summer</v>
      </c>
      <c r="H64" s="10">
        <f>weather_data!E64-weather_data!D64</f>
        <v>-1.1999999999999993</v>
      </c>
      <c r="I64" s="9">
        <f>IF(OR(weather_data!H64="light rain",weather_data!H64="moderate rain",weather_data!H64="drizzle",weather_data!H64="thunderstorm"),1,0)</f>
        <v>0</v>
      </c>
      <c r="J64" s="9">
        <f>IF(weather_data!I64&gt;=25,1,0)</f>
        <v>0</v>
      </c>
    </row>
    <row r="65" spans="1:10" x14ac:dyDescent="0.25">
      <c r="A65" s="7">
        <f>weather_data!B65</f>
        <v>45818.326388888891</v>
      </c>
      <c r="B65" s="8">
        <f t="shared" si="0"/>
        <v>45818</v>
      </c>
      <c r="C65" s="9" t="str">
        <f t="shared" si="1"/>
        <v>yyyy-06</v>
      </c>
      <c r="D65" s="9">
        <f t="shared" si="2"/>
        <v>6</v>
      </c>
      <c r="E65" s="9" t="str">
        <f t="shared" si="3"/>
        <v>czerwiec</v>
      </c>
      <c r="F65" s="9" t="str">
        <f t="shared" si="4"/>
        <v>Q2</v>
      </c>
      <c r="G65" s="9" t="str">
        <f t="shared" si="5"/>
        <v>Summer</v>
      </c>
      <c r="H65" s="10">
        <f>weather_data!E65-weather_data!D65</f>
        <v>0.60000000000000142</v>
      </c>
      <c r="I65" s="9">
        <f>IF(OR(weather_data!H65="light rain",weather_data!H65="moderate rain",weather_data!H65="drizzle",weather_data!H65="thunderstorm"),1,0)</f>
        <v>0</v>
      </c>
      <c r="J65" s="9">
        <f>IF(weather_data!I65&gt;=25,1,0)</f>
        <v>0</v>
      </c>
    </row>
    <row r="66" spans="1:10" x14ac:dyDescent="0.25">
      <c r="A66" s="7">
        <f>weather_data!B66</f>
        <v>45819.791666666657</v>
      </c>
      <c r="B66" s="8">
        <f t="shared" ref="B66:B129" si="6">INT(A66)</f>
        <v>45819</v>
      </c>
      <c r="C66" s="9" t="str">
        <f t="shared" ref="C66:C129" si="7">TEXT(B66,"yyyy-mm")</f>
        <v>yyyy-06</v>
      </c>
      <c r="D66" s="9">
        <f t="shared" ref="D66:D129" si="8">MONTH(B66)</f>
        <v>6</v>
      </c>
      <c r="E66" s="9" t="str">
        <f t="shared" ref="E66:E129" si="9">TEXT(B66,"mmmm")</f>
        <v>czerwiec</v>
      </c>
      <c r="F66" s="9" t="str">
        <f t="shared" ref="F66:F129" si="10">"Q"&amp;ROUNDUP(D66/3,0)</f>
        <v>Q2</v>
      </c>
      <c r="G66" s="9" t="str">
        <f t="shared" ref="G66:G129" si="11">IF(OR(D66=12,D66&lt;=2),"Winter",IF(D66&lt;=5,"Spring",IF(D66&lt;=8,"Summer","Autumn")))</f>
        <v>Summer</v>
      </c>
      <c r="H66" s="10">
        <f>weather_data!E66-weather_data!D66</f>
        <v>0.39999999999999858</v>
      </c>
      <c r="I66" s="9">
        <f>IF(OR(weather_data!H66="light rain",weather_data!H66="moderate rain",weather_data!H66="drizzle",weather_data!H66="thunderstorm"),1,0)</f>
        <v>0</v>
      </c>
      <c r="J66" s="9">
        <f>IF(weather_data!I66&gt;=25,1,0)</f>
        <v>0</v>
      </c>
    </row>
    <row r="67" spans="1:10" x14ac:dyDescent="0.25">
      <c r="A67" s="7">
        <f>weather_data!B67</f>
        <v>45821.513888888891</v>
      </c>
      <c r="B67" s="8">
        <f t="shared" si="6"/>
        <v>45821</v>
      </c>
      <c r="C67" s="9" t="str">
        <f t="shared" si="7"/>
        <v>yyyy-06</v>
      </c>
      <c r="D67" s="9">
        <f t="shared" si="8"/>
        <v>6</v>
      </c>
      <c r="E67" s="9" t="str">
        <f t="shared" si="9"/>
        <v>czerwiec</v>
      </c>
      <c r="F67" s="9" t="str">
        <f t="shared" si="10"/>
        <v>Q2</v>
      </c>
      <c r="G67" s="9" t="str">
        <f t="shared" si="11"/>
        <v>Summer</v>
      </c>
      <c r="H67" s="10">
        <f>weather_data!E67-weather_data!D67</f>
        <v>0.19999999999999929</v>
      </c>
      <c r="I67" s="9">
        <f>IF(OR(weather_data!H67="light rain",weather_data!H67="moderate rain",weather_data!H67="drizzle",weather_data!H67="thunderstorm"),1,0)</f>
        <v>0</v>
      </c>
      <c r="J67" s="9">
        <f>IF(weather_data!I67&gt;=25,1,0)</f>
        <v>0</v>
      </c>
    </row>
    <row r="68" spans="1:10" x14ac:dyDescent="0.25">
      <c r="A68" s="7">
        <f>weather_data!B68</f>
        <v>45822.791666666657</v>
      </c>
      <c r="B68" s="8">
        <f t="shared" si="6"/>
        <v>45822</v>
      </c>
      <c r="C68" s="9" t="str">
        <f t="shared" si="7"/>
        <v>yyyy-06</v>
      </c>
      <c r="D68" s="9">
        <f t="shared" si="8"/>
        <v>6</v>
      </c>
      <c r="E68" s="9" t="str">
        <f t="shared" si="9"/>
        <v>czerwiec</v>
      </c>
      <c r="F68" s="9" t="str">
        <f t="shared" si="10"/>
        <v>Q2</v>
      </c>
      <c r="G68" s="9" t="str">
        <f t="shared" si="11"/>
        <v>Summer</v>
      </c>
      <c r="H68" s="10">
        <f>weather_data!E68-weather_data!D68</f>
        <v>-0.30000000000000071</v>
      </c>
      <c r="I68" s="9">
        <f>IF(OR(weather_data!H68="light rain",weather_data!H68="moderate rain",weather_data!H68="drizzle",weather_data!H68="thunderstorm"),1,0)</f>
        <v>1</v>
      </c>
      <c r="J68" s="9">
        <f>IF(weather_data!I68&gt;=25,1,0)</f>
        <v>0</v>
      </c>
    </row>
    <row r="69" spans="1:10" x14ac:dyDescent="0.25">
      <c r="A69" s="7">
        <f>weather_data!B69</f>
        <v>45823.694444444453</v>
      </c>
      <c r="B69" s="8">
        <f t="shared" si="6"/>
        <v>45823</v>
      </c>
      <c r="C69" s="9" t="str">
        <f t="shared" si="7"/>
        <v>yyyy-06</v>
      </c>
      <c r="D69" s="9">
        <f t="shared" si="8"/>
        <v>6</v>
      </c>
      <c r="E69" s="9" t="str">
        <f t="shared" si="9"/>
        <v>czerwiec</v>
      </c>
      <c r="F69" s="9" t="str">
        <f t="shared" si="10"/>
        <v>Q2</v>
      </c>
      <c r="G69" s="9" t="str">
        <f t="shared" si="11"/>
        <v>Summer</v>
      </c>
      <c r="H69" s="10">
        <f>weather_data!E69-weather_data!D69</f>
        <v>0.69999999999999929</v>
      </c>
      <c r="I69" s="9">
        <f>IF(OR(weather_data!H69="light rain",weather_data!H69="moderate rain",weather_data!H69="drizzle",weather_data!H69="thunderstorm"),1,0)</f>
        <v>1</v>
      </c>
      <c r="J69" s="9">
        <f>IF(weather_data!I69&gt;=25,1,0)</f>
        <v>0</v>
      </c>
    </row>
    <row r="70" spans="1:10" x14ac:dyDescent="0.25">
      <c r="A70" s="7">
        <f>weather_data!B70</f>
        <v>45824.701388888891</v>
      </c>
      <c r="B70" s="8">
        <f t="shared" si="6"/>
        <v>45824</v>
      </c>
      <c r="C70" s="9" t="str">
        <f t="shared" si="7"/>
        <v>yyyy-06</v>
      </c>
      <c r="D70" s="9">
        <f t="shared" si="8"/>
        <v>6</v>
      </c>
      <c r="E70" s="9" t="str">
        <f t="shared" si="9"/>
        <v>czerwiec</v>
      </c>
      <c r="F70" s="9" t="str">
        <f t="shared" si="10"/>
        <v>Q2</v>
      </c>
      <c r="G70" s="9" t="str">
        <f t="shared" si="11"/>
        <v>Summer</v>
      </c>
      <c r="H70" s="10">
        <f>weather_data!E70-weather_data!D70</f>
        <v>-0.69999999999999929</v>
      </c>
      <c r="I70" s="9">
        <f>IF(OR(weather_data!H70="light rain",weather_data!H70="moderate rain",weather_data!H70="drizzle",weather_data!H70="thunderstorm"),1,0)</f>
        <v>1</v>
      </c>
      <c r="J70" s="9">
        <f>IF(weather_data!I70&gt;=25,1,0)</f>
        <v>0</v>
      </c>
    </row>
    <row r="71" spans="1:10" x14ac:dyDescent="0.25">
      <c r="A71" s="7">
        <f>weather_data!B71</f>
        <v>45825.409722222219</v>
      </c>
      <c r="B71" s="8">
        <f t="shared" si="6"/>
        <v>45825</v>
      </c>
      <c r="C71" s="9" t="str">
        <f t="shared" si="7"/>
        <v>yyyy-06</v>
      </c>
      <c r="D71" s="9">
        <f t="shared" si="8"/>
        <v>6</v>
      </c>
      <c r="E71" s="9" t="str">
        <f t="shared" si="9"/>
        <v>czerwiec</v>
      </c>
      <c r="F71" s="9" t="str">
        <f t="shared" si="10"/>
        <v>Q2</v>
      </c>
      <c r="G71" s="9" t="str">
        <f t="shared" si="11"/>
        <v>Summer</v>
      </c>
      <c r="H71" s="10">
        <f>weather_data!E71-weather_data!D71</f>
        <v>1.1000000000000014</v>
      </c>
      <c r="I71" s="9">
        <f>IF(OR(weather_data!H71="light rain",weather_data!H71="moderate rain",weather_data!H71="drizzle",weather_data!H71="thunderstorm"),1,0)</f>
        <v>0</v>
      </c>
      <c r="J71" s="9">
        <f>IF(weather_data!I71&gt;=25,1,0)</f>
        <v>0</v>
      </c>
    </row>
    <row r="72" spans="1:10" x14ac:dyDescent="0.25">
      <c r="A72" s="7">
        <f>weather_data!B72</f>
        <v>45827.652777777781</v>
      </c>
      <c r="B72" s="8">
        <f t="shared" si="6"/>
        <v>45827</v>
      </c>
      <c r="C72" s="9" t="str">
        <f t="shared" si="7"/>
        <v>yyyy-06</v>
      </c>
      <c r="D72" s="9">
        <f t="shared" si="8"/>
        <v>6</v>
      </c>
      <c r="E72" s="9" t="str">
        <f t="shared" si="9"/>
        <v>czerwiec</v>
      </c>
      <c r="F72" s="9" t="str">
        <f t="shared" si="10"/>
        <v>Q2</v>
      </c>
      <c r="G72" s="9" t="str">
        <f t="shared" si="11"/>
        <v>Summer</v>
      </c>
      <c r="H72" s="10">
        <f>weather_data!E72-weather_data!D72</f>
        <v>-1.1000000000000014</v>
      </c>
      <c r="I72" s="9">
        <f>IF(OR(weather_data!H72="light rain",weather_data!H72="moderate rain",weather_data!H72="drizzle",weather_data!H72="thunderstorm"),1,0)</f>
        <v>0</v>
      </c>
      <c r="J72" s="9">
        <f>IF(weather_data!I72&gt;=25,1,0)</f>
        <v>0</v>
      </c>
    </row>
    <row r="73" spans="1:10" x14ac:dyDescent="0.25">
      <c r="A73" s="7">
        <f>weather_data!B73</f>
        <v>45829.659722222219</v>
      </c>
      <c r="B73" s="8">
        <f t="shared" si="6"/>
        <v>45829</v>
      </c>
      <c r="C73" s="9" t="str">
        <f t="shared" si="7"/>
        <v>yyyy-06</v>
      </c>
      <c r="D73" s="9">
        <f t="shared" si="8"/>
        <v>6</v>
      </c>
      <c r="E73" s="9" t="str">
        <f t="shared" si="9"/>
        <v>czerwiec</v>
      </c>
      <c r="F73" s="9" t="str">
        <f t="shared" si="10"/>
        <v>Q2</v>
      </c>
      <c r="G73" s="9" t="str">
        <f t="shared" si="11"/>
        <v>Summer</v>
      </c>
      <c r="H73" s="10">
        <f>weather_data!E73-weather_data!D73</f>
        <v>1.1999999999999993</v>
      </c>
      <c r="I73" s="9">
        <f>IF(OR(weather_data!H73="light rain",weather_data!H73="moderate rain",weather_data!H73="drizzle",weather_data!H73="thunderstorm"),1,0)</f>
        <v>0</v>
      </c>
      <c r="J73" s="9">
        <f>IF(weather_data!I73&gt;=25,1,0)</f>
        <v>0</v>
      </c>
    </row>
    <row r="74" spans="1:10" x14ac:dyDescent="0.25">
      <c r="A74" s="7">
        <f>weather_data!B74</f>
        <v>45830.805555555547</v>
      </c>
      <c r="B74" s="8">
        <f t="shared" si="6"/>
        <v>45830</v>
      </c>
      <c r="C74" s="9" t="str">
        <f t="shared" si="7"/>
        <v>yyyy-06</v>
      </c>
      <c r="D74" s="9">
        <f t="shared" si="8"/>
        <v>6</v>
      </c>
      <c r="E74" s="9" t="str">
        <f t="shared" si="9"/>
        <v>czerwiec</v>
      </c>
      <c r="F74" s="9" t="str">
        <f t="shared" si="10"/>
        <v>Q2</v>
      </c>
      <c r="G74" s="9" t="str">
        <f t="shared" si="11"/>
        <v>Summer</v>
      </c>
      <c r="H74" s="10">
        <f>weather_data!E74-weather_data!D74</f>
        <v>-0.30000000000000071</v>
      </c>
      <c r="I74" s="9">
        <f>IF(OR(weather_data!H74="light rain",weather_data!H74="moderate rain",weather_data!H74="drizzle",weather_data!H74="thunderstorm"),1,0)</f>
        <v>0</v>
      </c>
      <c r="J74" s="9">
        <f>IF(weather_data!I74&gt;=25,1,0)</f>
        <v>0</v>
      </c>
    </row>
    <row r="75" spans="1:10" x14ac:dyDescent="0.25">
      <c r="A75" s="7">
        <f>weather_data!B75</f>
        <v>45831.784722222219</v>
      </c>
      <c r="B75" s="8">
        <f t="shared" si="6"/>
        <v>45831</v>
      </c>
      <c r="C75" s="9" t="str">
        <f t="shared" si="7"/>
        <v>yyyy-06</v>
      </c>
      <c r="D75" s="9">
        <f t="shared" si="8"/>
        <v>6</v>
      </c>
      <c r="E75" s="9" t="str">
        <f t="shared" si="9"/>
        <v>czerwiec</v>
      </c>
      <c r="F75" s="9" t="str">
        <f t="shared" si="10"/>
        <v>Q2</v>
      </c>
      <c r="G75" s="9" t="str">
        <f t="shared" si="11"/>
        <v>Summer</v>
      </c>
      <c r="H75" s="10">
        <f>weather_data!E75-weather_data!D75</f>
        <v>-0.19999999999999929</v>
      </c>
      <c r="I75" s="9">
        <f>IF(OR(weather_data!H75="light rain",weather_data!H75="moderate rain",weather_data!H75="drizzle",weather_data!H75="thunderstorm"),1,0)</f>
        <v>0</v>
      </c>
      <c r="J75" s="9">
        <f>IF(weather_data!I75&gt;=25,1,0)</f>
        <v>0</v>
      </c>
    </row>
    <row r="76" spans="1:10" x14ac:dyDescent="0.25">
      <c r="A76" s="7">
        <f>weather_data!B76</f>
        <v>45832.652777777781</v>
      </c>
      <c r="B76" s="8">
        <f t="shared" si="6"/>
        <v>45832</v>
      </c>
      <c r="C76" s="9" t="str">
        <f t="shared" si="7"/>
        <v>yyyy-06</v>
      </c>
      <c r="D76" s="9">
        <f t="shared" si="8"/>
        <v>6</v>
      </c>
      <c r="E76" s="9" t="str">
        <f t="shared" si="9"/>
        <v>czerwiec</v>
      </c>
      <c r="F76" s="9" t="str">
        <f t="shared" si="10"/>
        <v>Q2</v>
      </c>
      <c r="G76" s="9" t="str">
        <f t="shared" si="11"/>
        <v>Summer</v>
      </c>
      <c r="H76" s="10">
        <f>weather_data!E76-weather_data!D76</f>
        <v>0.5</v>
      </c>
      <c r="I76" s="9">
        <f>IF(OR(weather_data!H76="light rain",weather_data!H76="moderate rain",weather_data!H76="drizzle",weather_data!H76="thunderstorm"),1,0)</f>
        <v>0</v>
      </c>
      <c r="J76" s="9">
        <f>IF(weather_data!I76&gt;=25,1,0)</f>
        <v>0</v>
      </c>
    </row>
    <row r="77" spans="1:10" x14ac:dyDescent="0.25">
      <c r="A77" s="7">
        <f>weather_data!B77</f>
        <v>45833.423611111109</v>
      </c>
      <c r="B77" s="8">
        <f t="shared" si="6"/>
        <v>45833</v>
      </c>
      <c r="C77" s="9" t="str">
        <f t="shared" si="7"/>
        <v>yyyy-06</v>
      </c>
      <c r="D77" s="9">
        <f t="shared" si="8"/>
        <v>6</v>
      </c>
      <c r="E77" s="9" t="str">
        <f t="shared" si="9"/>
        <v>czerwiec</v>
      </c>
      <c r="F77" s="9" t="str">
        <f t="shared" si="10"/>
        <v>Q2</v>
      </c>
      <c r="G77" s="9" t="str">
        <f t="shared" si="11"/>
        <v>Summer</v>
      </c>
      <c r="H77" s="10">
        <f>weather_data!E77-weather_data!D77</f>
        <v>0.19999999999999929</v>
      </c>
      <c r="I77" s="9">
        <f>IF(OR(weather_data!H77="light rain",weather_data!H77="moderate rain",weather_data!H77="drizzle",weather_data!H77="thunderstorm"),1,0)</f>
        <v>0</v>
      </c>
      <c r="J77" s="9">
        <f>IF(weather_data!I77&gt;=25,1,0)</f>
        <v>0</v>
      </c>
    </row>
    <row r="78" spans="1:10" x14ac:dyDescent="0.25">
      <c r="A78" s="7">
        <f>weather_data!B78</f>
        <v>45834.826388888891</v>
      </c>
      <c r="B78" s="8">
        <f t="shared" si="6"/>
        <v>45834</v>
      </c>
      <c r="C78" s="9" t="str">
        <f t="shared" si="7"/>
        <v>yyyy-06</v>
      </c>
      <c r="D78" s="9">
        <f t="shared" si="8"/>
        <v>6</v>
      </c>
      <c r="E78" s="9" t="str">
        <f t="shared" si="9"/>
        <v>czerwiec</v>
      </c>
      <c r="F78" s="9" t="str">
        <f t="shared" si="10"/>
        <v>Q2</v>
      </c>
      <c r="G78" s="9" t="str">
        <f t="shared" si="11"/>
        <v>Summer</v>
      </c>
      <c r="H78" s="10">
        <f>weather_data!E78-weather_data!D78</f>
        <v>0.69999999999999929</v>
      </c>
      <c r="I78" s="9">
        <f>IF(OR(weather_data!H78="light rain",weather_data!H78="moderate rain",weather_data!H78="drizzle",weather_data!H78="thunderstorm"),1,0)</f>
        <v>0</v>
      </c>
      <c r="J78" s="9">
        <f>IF(weather_data!I78&gt;=25,1,0)</f>
        <v>0</v>
      </c>
    </row>
    <row r="79" spans="1:10" x14ac:dyDescent="0.25">
      <c r="A79" s="7">
        <f>weather_data!B79</f>
        <v>45835.784722222219</v>
      </c>
      <c r="B79" s="8">
        <f t="shared" si="6"/>
        <v>45835</v>
      </c>
      <c r="C79" s="9" t="str">
        <f t="shared" si="7"/>
        <v>yyyy-06</v>
      </c>
      <c r="D79" s="9">
        <f t="shared" si="8"/>
        <v>6</v>
      </c>
      <c r="E79" s="9" t="str">
        <f t="shared" si="9"/>
        <v>czerwiec</v>
      </c>
      <c r="F79" s="9" t="str">
        <f t="shared" si="10"/>
        <v>Q2</v>
      </c>
      <c r="G79" s="9" t="str">
        <f t="shared" si="11"/>
        <v>Summer</v>
      </c>
      <c r="H79" s="10">
        <f>weather_data!E79-weather_data!D79</f>
        <v>0.60000000000000142</v>
      </c>
      <c r="I79" s="9">
        <f>IF(OR(weather_data!H79="light rain",weather_data!H79="moderate rain",weather_data!H79="drizzle",weather_data!H79="thunderstorm"),1,0)</f>
        <v>1</v>
      </c>
      <c r="J79" s="9">
        <f>IF(weather_data!I79&gt;=25,1,0)</f>
        <v>1</v>
      </c>
    </row>
    <row r="80" spans="1:10" x14ac:dyDescent="0.25">
      <c r="A80" s="7">
        <f>weather_data!B80</f>
        <v>45836.486111111109</v>
      </c>
      <c r="B80" s="8">
        <f t="shared" si="6"/>
        <v>45836</v>
      </c>
      <c r="C80" s="9" t="str">
        <f t="shared" si="7"/>
        <v>yyyy-06</v>
      </c>
      <c r="D80" s="9">
        <f t="shared" si="8"/>
        <v>6</v>
      </c>
      <c r="E80" s="9" t="str">
        <f t="shared" si="9"/>
        <v>czerwiec</v>
      </c>
      <c r="F80" s="9" t="str">
        <f t="shared" si="10"/>
        <v>Q2</v>
      </c>
      <c r="G80" s="9" t="str">
        <f t="shared" si="11"/>
        <v>Summer</v>
      </c>
      <c r="H80" s="10">
        <f>weather_data!E80-weather_data!D80</f>
        <v>-0.10000000000000142</v>
      </c>
      <c r="I80" s="9">
        <f>IF(OR(weather_data!H80="light rain",weather_data!H80="moderate rain",weather_data!H80="drizzle",weather_data!H80="thunderstorm"),1,0)</f>
        <v>1</v>
      </c>
      <c r="J80" s="9">
        <f>IF(weather_data!I80&gt;=25,1,0)</f>
        <v>0</v>
      </c>
    </row>
    <row r="81" spans="1:10" x14ac:dyDescent="0.25">
      <c r="A81" s="7">
        <f>weather_data!B81</f>
        <v>45837.645833333343</v>
      </c>
      <c r="B81" s="8">
        <f t="shared" si="6"/>
        <v>45837</v>
      </c>
      <c r="C81" s="9" t="str">
        <f t="shared" si="7"/>
        <v>yyyy-06</v>
      </c>
      <c r="D81" s="9">
        <f t="shared" si="8"/>
        <v>6</v>
      </c>
      <c r="E81" s="9" t="str">
        <f t="shared" si="9"/>
        <v>czerwiec</v>
      </c>
      <c r="F81" s="9" t="str">
        <f t="shared" si="10"/>
        <v>Q2</v>
      </c>
      <c r="G81" s="9" t="str">
        <f t="shared" si="11"/>
        <v>Summer</v>
      </c>
      <c r="H81" s="10">
        <f>weather_data!E81-weather_data!D81</f>
        <v>-0.89999999999999858</v>
      </c>
      <c r="I81" s="9">
        <f>IF(OR(weather_data!H81="light rain",weather_data!H81="moderate rain",weather_data!H81="drizzle",weather_data!H81="thunderstorm"),1,0)</f>
        <v>0</v>
      </c>
      <c r="J81" s="9">
        <f>IF(weather_data!I81&gt;=25,1,0)</f>
        <v>0</v>
      </c>
    </row>
    <row r="82" spans="1:10" x14ac:dyDescent="0.25">
      <c r="A82" s="7">
        <f>weather_data!B82</f>
        <v>45838.263888888891</v>
      </c>
      <c r="B82" s="8">
        <f t="shared" si="6"/>
        <v>45838</v>
      </c>
      <c r="C82" s="9" t="str">
        <f t="shared" si="7"/>
        <v>yyyy-06</v>
      </c>
      <c r="D82" s="9">
        <f t="shared" si="8"/>
        <v>6</v>
      </c>
      <c r="E82" s="9" t="str">
        <f t="shared" si="9"/>
        <v>czerwiec</v>
      </c>
      <c r="F82" s="9" t="str">
        <f t="shared" si="10"/>
        <v>Q2</v>
      </c>
      <c r="G82" s="9" t="str">
        <f t="shared" si="11"/>
        <v>Summer</v>
      </c>
      <c r="H82" s="10">
        <f>weather_data!E82-weather_data!D82</f>
        <v>0.59999999999999787</v>
      </c>
      <c r="I82" s="9">
        <f>IF(OR(weather_data!H82="light rain",weather_data!H82="moderate rain",weather_data!H82="drizzle",weather_data!H82="thunderstorm"),1,0)</f>
        <v>1</v>
      </c>
      <c r="J82" s="9">
        <f>IF(weather_data!I82&gt;=25,1,0)</f>
        <v>0</v>
      </c>
    </row>
    <row r="83" spans="1:10" x14ac:dyDescent="0.25">
      <c r="A83" s="7">
        <f>weather_data!B83</f>
        <v>45839.631944444453</v>
      </c>
      <c r="B83" s="8">
        <f t="shared" si="6"/>
        <v>45839</v>
      </c>
      <c r="C83" s="9" t="str">
        <f t="shared" si="7"/>
        <v>yyyy-07</v>
      </c>
      <c r="D83" s="9">
        <f t="shared" si="8"/>
        <v>7</v>
      </c>
      <c r="E83" s="9" t="str">
        <f t="shared" si="9"/>
        <v>lipiec</v>
      </c>
      <c r="F83" s="9" t="str">
        <f t="shared" si="10"/>
        <v>Q3</v>
      </c>
      <c r="G83" s="9" t="str">
        <f t="shared" si="11"/>
        <v>Summer</v>
      </c>
      <c r="H83" s="10">
        <f>weather_data!E83-weather_data!D83</f>
        <v>-0.5</v>
      </c>
      <c r="I83" s="9">
        <f>IF(OR(weather_data!H83="light rain",weather_data!H83="moderate rain",weather_data!H83="drizzle",weather_data!H83="thunderstorm"),1,0)</f>
        <v>0</v>
      </c>
      <c r="J83" s="9">
        <f>IF(weather_data!I83&gt;=25,1,0)</f>
        <v>0</v>
      </c>
    </row>
    <row r="84" spans="1:10" x14ac:dyDescent="0.25">
      <c r="A84" s="7">
        <f>weather_data!B84</f>
        <v>45840.819444444453</v>
      </c>
      <c r="B84" s="8">
        <f t="shared" si="6"/>
        <v>45840</v>
      </c>
      <c r="C84" s="9" t="str">
        <f t="shared" si="7"/>
        <v>yyyy-07</v>
      </c>
      <c r="D84" s="9">
        <f t="shared" si="8"/>
        <v>7</v>
      </c>
      <c r="E84" s="9" t="str">
        <f t="shared" si="9"/>
        <v>lipiec</v>
      </c>
      <c r="F84" s="9" t="str">
        <f t="shared" si="10"/>
        <v>Q3</v>
      </c>
      <c r="G84" s="9" t="str">
        <f t="shared" si="11"/>
        <v>Summer</v>
      </c>
      <c r="H84" s="10">
        <f>weather_data!E84-weather_data!D84</f>
        <v>1</v>
      </c>
      <c r="I84" s="9">
        <f>IF(OR(weather_data!H84="light rain",weather_data!H84="moderate rain",weather_data!H84="drizzle",weather_data!H84="thunderstorm"),1,0)</f>
        <v>0</v>
      </c>
      <c r="J84" s="9">
        <f>IF(weather_data!I84&gt;=25,1,0)</f>
        <v>0</v>
      </c>
    </row>
    <row r="85" spans="1:10" x14ac:dyDescent="0.25">
      <c r="A85" s="7">
        <f>weather_data!B85</f>
        <v>45841.6875</v>
      </c>
      <c r="B85" s="8">
        <f t="shared" si="6"/>
        <v>45841</v>
      </c>
      <c r="C85" s="9" t="str">
        <f t="shared" si="7"/>
        <v>yyyy-07</v>
      </c>
      <c r="D85" s="9">
        <f t="shared" si="8"/>
        <v>7</v>
      </c>
      <c r="E85" s="9" t="str">
        <f t="shared" si="9"/>
        <v>lipiec</v>
      </c>
      <c r="F85" s="9" t="str">
        <f t="shared" si="10"/>
        <v>Q3</v>
      </c>
      <c r="G85" s="9" t="str">
        <f t="shared" si="11"/>
        <v>Summer</v>
      </c>
      <c r="H85" s="10">
        <f>weather_data!E85-weather_data!D85</f>
        <v>0</v>
      </c>
      <c r="I85" s="9">
        <f>IF(OR(weather_data!H85="light rain",weather_data!H85="moderate rain",weather_data!H85="drizzle",weather_data!H85="thunderstorm"),1,0)</f>
        <v>0</v>
      </c>
      <c r="J85" s="9">
        <f>IF(weather_data!I85&gt;=25,1,0)</f>
        <v>0</v>
      </c>
    </row>
    <row r="86" spans="1:10" x14ac:dyDescent="0.25">
      <c r="A86" s="7">
        <f>weather_data!B86</f>
        <v>45842.854166666657</v>
      </c>
      <c r="B86" s="8">
        <f t="shared" si="6"/>
        <v>45842</v>
      </c>
      <c r="C86" s="9" t="str">
        <f t="shared" si="7"/>
        <v>yyyy-07</v>
      </c>
      <c r="D86" s="9">
        <f t="shared" si="8"/>
        <v>7</v>
      </c>
      <c r="E86" s="9" t="str">
        <f t="shared" si="9"/>
        <v>lipiec</v>
      </c>
      <c r="F86" s="9" t="str">
        <f t="shared" si="10"/>
        <v>Q3</v>
      </c>
      <c r="G86" s="9" t="str">
        <f t="shared" si="11"/>
        <v>Summer</v>
      </c>
      <c r="H86" s="10">
        <f>weather_data!E86-weather_data!D86</f>
        <v>-1.0999999999999979</v>
      </c>
      <c r="I86" s="9">
        <f>IF(OR(weather_data!H86="light rain",weather_data!H86="moderate rain",weather_data!H86="drizzle",weather_data!H86="thunderstorm"),1,0)</f>
        <v>1</v>
      </c>
      <c r="J86" s="9">
        <f>IF(weather_data!I86&gt;=25,1,0)</f>
        <v>0</v>
      </c>
    </row>
    <row r="87" spans="1:10" x14ac:dyDescent="0.25">
      <c r="A87" s="7">
        <f>weather_data!B87</f>
        <v>45843.527777777781</v>
      </c>
      <c r="B87" s="8">
        <f t="shared" si="6"/>
        <v>45843</v>
      </c>
      <c r="C87" s="9" t="str">
        <f t="shared" si="7"/>
        <v>yyyy-07</v>
      </c>
      <c r="D87" s="9">
        <f t="shared" si="8"/>
        <v>7</v>
      </c>
      <c r="E87" s="9" t="str">
        <f t="shared" si="9"/>
        <v>lipiec</v>
      </c>
      <c r="F87" s="9" t="str">
        <f t="shared" si="10"/>
        <v>Q3</v>
      </c>
      <c r="G87" s="9" t="str">
        <f t="shared" si="11"/>
        <v>Summer</v>
      </c>
      <c r="H87" s="10">
        <f>weather_data!E87-weather_data!D87</f>
        <v>9.9999999999997868E-2</v>
      </c>
      <c r="I87" s="9">
        <f>IF(OR(weather_data!H87="light rain",weather_data!H87="moderate rain",weather_data!H87="drizzle",weather_data!H87="thunderstorm"),1,0)</f>
        <v>1</v>
      </c>
      <c r="J87" s="9">
        <f>IF(weather_data!I87&gt;=25,1,0)</f>
        <v>1</v>
      </c>
    </row>
    <row r="88" spans="1:10" x14ac:dyDescent="0.25">
      <c r="A88" s="7">
        <f>weather_data!B88</f>
        <v>45844.909722222219</v>
      </c>
      <c r="B88" s="8">
        <f t="shared" si="6"/>
        <v>45844</v>
      </c>
      <c r="C88" s="9" t="str">
        <f t="shared" si="7"/>
        <v>yyyy-07</v>
      </c>
      <c r="D88" s="9">
        <f t="shared" si="8"/>
        <v>7</v>
      </c>
      <c r="E88" s="9" t="str">
        <f t="shared" si="9"/>
        <v>lipiec</v>
      </c>
      <c r="F88" s="9" t="str">
        <f t="shared" si="10"/>
        <v>Q3</v>
      </c>
      <c r="G88" s="9" t="str">
        <f t="shared" si="11"/>
        <v>Summer</v>
      </c>
      <c r="H88" s="10">
        <f>weather_data!E88-weather_data!D88</f>
        <v>0.30000000000000071</v>
      </c>
      <c r="I88" s="9">
        <f>IF(OR(weather_data!H88="light rain",weather_data!H88="moderate rain",weather_data!H88="drizzle",weather_data!H88="thunderstorm"),1,0)</f>
        <v>0</v>
      </c>
      <c r="J88" s="9">
        <f>IF(weather_data!I88&gt;=25,1,0)</f>
        <v>0</v>
      </c>
    </row>
    <row r="89" spans="1:10" x14ac:dyDescent="0.25">
      <c r="A89" s="7">
        <f>weather_data!B89</f>
        <v>45845.493055555547</v>
      </c>
      <c r="B89" s="8">
        <f t="shared" si="6"/>
        <v>45845</v>
      </c>
      <c r="C89" s="9" t="str">
        <f t="shared" si="7"/>
        <v>yyyy-07</v>
      </c>
      <c r="D89" s="9">
        <f t="shared" si="8"/>
        <v>7</v>
      </c>
      <c r="E89" s="9" t="str">
        <f t="shared" si="9"/>
        <v>lipiec</v>
      </c>
      <c r="F89" s="9" t="str">
        <f t="shared" si="10"/>
        <v>Q3</v>
      </c>
      <c r="G89" s="9" t="str">
        <f t="shared" si="11"/>
        <v>Summer</v>
      </c>
      <c r="H89" s="10">
        <f>weather_data!E89-weather_data!D89</f>
        <v>0.39999999999999858</v>
      </c>
      <c r="I89" s="9">
        <f>IF(OR(weather_data!H89="light rain",weather_data!H89="moderate rain",weather_data!H89="drizzle",weather_data!H89="thunderstorm"),1,0)</f>
        <v>0</v>
      </c>
      <c r="J89" s="9">
        <f>IF(weather_data!I89&gt;=25,1,0)</f>
        <v>0</v>
      </c>
    </row>
    <row r="90" spans="1:10" x14ac:dyDescent="0.25">
      <c r="A90" s="7">
        <f>weather_data!B90</f>
        <v>45846.347222222219</v>
      </c>
      <c r="B90" s="8">
        <f t="shared" si="6"/>
        <v>45846</v>
      </c>
      <c r="C90" s="9" t="str">
        <f t="shared" si="7"/>
        <v>yyyy-07</v>
      </c>
      <c r="D90" s="9">
        <f t="shared" si="8"/>
        <v>7</v>
      </c>
      <c r="E90" s="9" t="str">
        <f t="shared" si="9"/>
        <v>lipiec</v>
      </c>
      <c r="F90" s="9" t="str">
        <f t="shared" si="10"/>
        <v>Q3</v>
      </c>
      <c r="G90" s="9" t="str">
        <f t="shared" si="11"/>
        <v>Summer</v>
      </c>
      <c r="H90" s="10">
        <f>weather_data!E90-weather_data!D90</f>
        <v>-0.60000000000000142</v>
      </c>
      <c r="I90" s="9">
        <f>IF(OR(weather_data!H90="light rain",weather_data!H90="moderate rain",weather_data!H90="drizzle",weather_data!H90="thunderstorm"),1,0)</f>
        <v>0</v>
      </c>
      <c r="J90" s="9">
        <f>IF(weather_data!I90&gt;=25,1,0)</f>
        <v>0</v>
      </c>
    </row>
    <row r="91" spans="1:10" x14ac:dyDescent="0.25">
      <c r="A91" s="7">
        <f>weather_data!B91</f>
        <v>45847.666666666657</v>
      </c>
      <c r="B91" s="8">
        <f t="shared" si="6"/>
        <v>45847</v>
      </c>
      <c r="C91" s="9" t="str">
        <f t="shared" si="7"/>
        <v>yyyy-07</v>
      </c>
      <c r="D91" s="9">
        <f t="shared" si="8"/>
        <v>7</v>
      </c>
      <c r="E91" s="9" t="str">
        <f t="shared" si="9"/>
        <v>lipiec</v>
      </c>
      <c r="F91" s="9" t="str">
        <f t="shared" si="10"/>
        <v>Q3</v>
      </c>
      <c r="G91" s="9" t="str">
        <f t="shared" si="11"/>
        <v>Summer</v>
      </c>
      <c r="H91" s="10">
        <f>weather_data!E91-weather_data!D91</f>
        <v>0.40000000000000213</v>
      </c>
      <c r="I91" s="9">
        <f>IF(OR(weather_data!H91="light rain",weather_data!H91="moderate rain",weather_data!H91="drizzle",weather_data!H91="thunderstorm"),1,0)</f>
        <v>0</v>
      </c>
      <c r="J91" s="9">
        <f>IF(weather_data!I91&gt;=25,1,0)</f>
        <v>0</v>
      </c>
    </row>
    <row r="92" spans="1:10" x14ac:dyDescent="0.25">
      <c r="A92" s="7">
        <f>weather_data!B92</f>
        <v>45848.576388888891</v>
      </c>
      <c r="B92" s="8">
        <f t="shared" si="6"/>
        <v>45848</v>
      </c>
      <c r="C92" s="9" t="str">
        <f t="shared" si="7"/>
        <v>yyyy-07</v>
      </c>
      <c r="D92" s="9">
        <f t="shared" si="8"/>
        <v>7</v>
      </c>
      <c r="E92" s="9" t="str">
        <f t="shared" si="9"/>
        <v>lipiec</v>
      </c>
      <c r="F92" s="9" t="str">
        <f t="shared" si="10"/>
        <v>Q3</v>
      </c>
      <c r="G92" s="9" t="str">
        <f t="shared" si="11"/>
        <v>Summer</v>
      </c>
      <c r="H92" s="10">
        <f>weather_data!E92-weather_data!D92</f>
        <v>-0.80000000000000071</v>
      </c>
      <c r="I92" s="9">
        <f>IF(OR(weather_data!H92="light rain",weather_data!H92="moderate rain",weather_data!H92="drizzle",weather_data!H92="thunderstorm"),1,0)</f>
        <v>0</v>
      </c>
      <c r="J92" s="9">
        <f>IF(weather_data!I92&gt;=25,1,0)</f>
        <v>0</v>
      </c>
    </row>
    <row r="93" spans="1:10" x14ac:dyDescent="0.25">
      <c r="A93" s="7">
        <f>weather_data!B93</f>
        <v>45849.631944444453</v>
      </c>
      <c r="B93" s="8">
        <f t="shared" si="6"/>
        <v>45849</v>
      </c>
      <c r="C93" s="9" t="str">
        <f t="shared" si="7"/>
        <v>yyyy-07</v>
      </c>
      <c r="D93" s="9">
        <f t="shared" si="8"/>
        <v>7</v>
      </c>
      <c r="E93" s="9" t="str">
        <f t="shared" si="9"/>
        <v>lipiec</v>
      </c>
      <c r="F93" s="9" t="str">
        <f t="shared" si="10"/>
        <v>Q3</v>
      </c>
      <c r="G93" s="9" t="str">
        <f t="shared" si="11"/>
        <v>Summer</v>
      </c>
      <c r="H93" s="10">
        <f>weather_data!E93-weather_data!D93</f>
        <v>0.5</v>
      </c>
      <c r="I93" s="9">
        <f>IF(OR(weather_data!H93="light rain",weather_data!H93="moderate rain",weather_data!H93="drizzle",weather_data!H93="thunderstorm"),1,0)</f>
        <v>0</v>
      </c>
      <c r="J93" s="9">
        <f>IF(weather_data!I93&gt;=25,1,0)</f>
        <v>0</v>
      </c>
    </row>
    <row r="94" spans="1:10" x14ac:dyDescent="0.25">
      <c r="A94" s="7">
        <f>weather_data!B94</f>
        <v>45850.506944444453</v>
      </c>
      <c r="B94" s="8">
        <f t="shared" si="6"/>
        <v>45850</v>
      </c>
      <c r="C94" s="9" t="str">
        <f t="shared" si="7"/>
        <v>yyyy-07</v>
      </c>
      <c r="D94" s="9">
        <f t="shared" si="8"/>
        <v>7</v>
      </c>
      <c r="E94" s="9" t="str">
        <f t="shared" si="9"/>
        <v>lipiec</v>
      </c>
      <c r="F94" s="9" t="str">
        <f t="shared" si="10"/>
        <v>Q3</v>
      </c>
      <c r="G94" s="9" t="str">
        <f t="shared" si="11"/>
        <v>Summer</v>
      </c>
      <c r="H94" s="10">
        <f>weather_data!E94-weather_data!D94</f>
        <v>-1</v>
      </c>
      <c r="I94" s="9">
        <f>IF(OR(weather_data!H94="light rain",weather_data!H94="moderate rain",weather_data!H94="drizzle",weather_data!H94="thunderstorm"),1,0)</f>
        <v>1</v>
      </c>
      <c r="J94" s="9">
        <f>IF(weather_data!I94&gt;=25,1,0)</f>
        <v>0</v>
      </c>
    </row>
    <row r="95" spans="1:10" x14ac:dyDescent="0.25">
      <c r="A95" s="7">
        <f>weather_data!B95</f>
        <v>45851.25</v>
      </c>
      <c r="B95" s="8">
        <f t="shared" si="6"/>
        <v>45851</v>
      </c>
      <c r="C95" s="9" t="str">
        <f t="shared" si="7"/>
        <v>yyyy-07</v>
      </c>
      <c r="D95" s="9">
        <f t="shared" si="8"/>
        <v>7</v>
      </c>
      <c r="E95" s="9" t="str">
        <f t="shared" si="9"/>
        <v>lipiec</v>
      </c>
      <c r="F95" s="9" t="str">
        <f t="shared" si="10"/>
        <v>Q3</v>
      </c>
      <c r="G95" s="9" t="str">
        <f t="shared" si="11"/>
        <v>Summer</v>
      </c>
      <c r="H95" s="10">
        <f>weather_data!E95-weather_data!D95</f>
        <v>-1.0999999999999979</v>
      </c>
      <c r="I95" s="9">
        <f>IF(OR(weather_data!H95="light rain",weather_data!H95="moderate rain",weather_data!H95="drizzle",weather_data!H95="thunderstorm"),1,0)</f>
        <v>0</v>
      </c>
      <c r="J95" s="9">
        <f>IF(weather_data!I95&gt;=25,1,0)</f>
        <v>1</v>
      </c>
    </row>
    <row r="96" spans="1:10" x14ac:dyDescent="0.25">
      <c r="A96" s="7">
        <f>weather_data!B96</f>
        <v>45852.5625</v>
      </c>
      <c r="B96" s="8">
        <f t="shared" si="6"/>
        <v>45852</v>
      </c>
      <c r="C96" s="9" t="str">
        <f t="shared" si="7"/>
        <v>yyyy-07</v>
      </c>
      <c r="D96" s="9">
        <f t="shared" si="8"/>
        <v>7</v>
      </c>
      <c r="E96" s="9" t="str">
        <f t="shared" si="9"/>
        <v>lipiec</v>
      </c>
      <c r="F96" s="9" t="str">
        <f t="shared" si="10"/>
        <v>Q3</v>
      </c>
      <c r="G96" s="9" t="str">
        <f t="shared" si="11"/>
        <v>Summer</v>
      </c>
      <c r="H96" s="10">
        <f>weather_data!E96-weather_data!D96</f>
        <v>-0.29999999999999716</v>
      </c>
      <c r="I96" s="9">
        <f>IF(OR(weather_data!H96="light rain",weather_data!H96="moderate rain",weather_data!H96="drizzle",weather_data!H96="thunderstorm"),1,0)</f>
        <v>1</v>
      </c>
      <c r="J96" s="9">
        <f>IF(weather_data!I96&gt;=25,1,0)</f>
        <v>0</v>
      </c>
    </row>
    <row r="97" spans="1:10" x14ac:dyDescent="0.25">
      <c r="A97" s="7">
        <f>weather_data!B97</f>
        <v>45853.354166666657</v>
      </c>
      <c r="B97" s="8">
        <f t="shared" si="6"/>
        <v>45853</v>
      </c>
      <c r="C97" s="9" t="str">
        <f t="shared" si="7"/>
        <v>yyyy-07</v>
      </c>
      <c r="D97" s="9">
        <f t="shared" si="8"/>
        <v>7</v>
      </c>
      <c r="E97" s="9" t="str">
        <f t="shared" si="9"/>
        <v>lipiec</v>
      </c>
      <c r="F97" s="9" t="str">
        <f t="shared" si="10"/>
        <v>Q3</v>
      </c>
      <c r="G97" s="9" t="str">
        <f t="shared" si="11"/>
        <v>Summer</v>
      </c>
      <c r="H97" s="10">
        <f>weather_data!E97-weather_data!D97</f>
        <v>0.69999999999999929</v>
      </c>
      <c r="I97" s="9">
        <f>IF(OR(weather_data!H97="light rain",weather_data!H97="moderate rain",weather_data!H97="drizzle",weather_data!H97="thunderstorm"),1,0)</f>
        <v>0</v>
      </c>
      <c r="J97" s="9">
        <f>IF(weather_data!I97&gt;=25,1,0)</f>
        <v>0</v>
      </c>
    </row>
    <row r="98" spans="1:10" x14ac:dyDescent="0.25">
      <c r="A98" s="7">
        <f>weather_data!B98</f>
        <v>45854.826388888891</v>
      </c>
      <c r="B98" s="8">
        <f t="shared" si="6"/>
        <v>45854</v>
      </c>
      <c r="C98" s="9" t="str">
        <f t="shared" si="7"/>
        <v>yyyy-07</v>
      </c>
      <c r="D98" s="9">
        <f t="shared" si="8"/>
        <v>7</v>
      </c>
      <c r="E98" s="9" t="str">
        <f t="shared" si="9"/>
        <v>lipiec</v>
      </c>
      <c r="F98" s="9" t="str">
        <f t="shared" si="10"/>
        <v>Q3</v>
      </c>
      <c r="G98" s="9" t="str">
        <f t="shared" si="11"/>
        <v>Summer</v>
      </c>
      <c r="H98" s="10">
        <f>weather_data!E98-weather_data!D98</f>
        <v>1.1999999999999993</v>
      </c>
      <c r="I98" s="9">
        <f>IF(OR(weather_data!H98="light rain",weather_data!H98="moderate rain",weather_data!H98="drizzle",weather_data!H98="thunderstorm"),1,0)</f>
        <v>0</v>
      </c>
      <c r="J98" s="9">
        <f>IF(weather_data!I98&gt;=25,1,0)</f>
        <v>0</v>
      </c>
    </row>
    <row r="99" spans="1:10" x14ac:dyDescent="0.25">
      <c r="A99" s="7">
        <f>weather_data!B99</f>
        <v>45855.534722222219</v>
      </c>
      <c r="B99" s="8">
        <f t="shared" si="6"/>
        <v>45855</v>
      </c>
      <c r="C99" s="9" t="str">
        <f t="shared" si="7"/>
        <v>yyyy-07</v>
      </c>
      <c r="D99" s="9">
        <f t="shared" si="8"/>
        <v>7</v>
      </c>
      <c r="E99" s="9" t="str">
        <f t="shared" si="9"/>
        <v>lipiec</v>
      </c>
      <c r="F99" s="9" t="str">
        <f t="shared" si="10"/>
        <v>Q3</v>
      </c>
      <c r="G99" s="9" t="str">
        <f t="shared" si="11"/>
        <v>Summer</v>
      </c>
      <c r="H99" s="10">
        <f>weather_data!E99-weather_data!D99</f>
        <v>0.59999999999999787</v>
      </c>
      <c r="I99" s="9">
        <f>IF(OR(weather_data!H99="light rain",weather_data!H99="moderate rain",weather_data!H99="drizzle",weather_data!H99="thunderstorm"),1,0)</f>
        <v>0</v>
      </c>
      <c r="J99" s="9">
        <f>IF(weather_data!I99&gt;=25,1,0)</f>
        <v>0</v>
      </c>
    </row>
    <row r="100" spans="1:10" x14ac:dyDescent="0.25">
      <c r="A100" s="7">
        <f>weather_data!B100</f>
        <v>45856.770833333343</v>
      </c>
      <c r="B100" s="8">
        <f t="shared" si="6"/>
        <v>45856</v>
      </c>
      <c r="C100" s="9" t="str">
        <f t="shared" si="7"/>
        <v>yyyy-07</v>
      </c>
      <c r="D100" s="9">
        <f t="shared" si="8"/>
        <v>7</v>
      </c>
      <c r="E100" s="9" t="str">
        <f t="shared" si="9"/>
        <v>lipiec</v>
      </c>
      <c r="F100" s="9" t="str">
        <f t="shared" si="10"/>
        <v>Q3</v>
      </c>
      <c r="G100" s="9" t="str">
        <f t="shared" si="11"/>
        <v>Summer</v>
      </c>
      <c r="H100" s="10">
        <f>weather_data!E100-weather_data!D100</f>
        <v>-0.90000000000000213</v>
      </c>
      <c r="I100" s="9">
        <f>IF(OR(weather_data!H100="light rain",weather_data!H100="moderate rain",weather_data!H100="drizzle",weather_data!H100="thunderstorm"),1,0)</f>
        <v>0</v>
      </c>
      <c r="J100" s="9">
        <f>IF(weather_data!I100&gt;=25,1,0)</f>
        <v>0</v>
      </c>
    </row>
    <row r="101" spans="1:10" x14ac:dyDescent="0.25">
      <c r="A101" s="7">
        <f>weather_data!B101</f>
        <v>45857.756944444453</v>
      </c>
      <c r="B101" s="8">
        <f t="shared" si="6"/>
        <v>45857</v>
      </c>
      <c r="C101" s="9" t="str">
        <f t="shared" si="7"/>
        <v>yyyy-07</v>
      </c>
      <c r="D101" s="9">
        <f t="shared" si="8"/>
        <v>7</v>
      </c>
      <c r="E101" s="9" t="str">
        <f t="shared" si="9"/>
        <v>lipiec</v>
      </c>
      <c r="F101" s="9" t="str">
        <f t="shared" si="10"/>
        <v>Q3</v>
      </c>
      <c r="G101" s="9" t="str">
        <f t="shared" si="11"/>
        <v>Summer</v>
      </c>
      <c r="H101" s="10">
        <f>weather_data!E101-weather_data!D101</f>
        <v>1.1999999999999993</v>
      </c>
      <c r="I101" s="9">
        <f>IF(OR(weather_data!H101="light rain",weather_data!H101="moderate rain",weather_data!H101="drizzle",weather_data!H101="thunderstorm"),1,0)</f>
        <v>0</v>
      </c>
      <c r="J101" s="9">
        <f>IF(weather_data!I101&gt;=25,1,0)</f>
        <v>0</v>
      </c>
    </row>
    <row r="102" spans="1:10" x14ac:dyDescent="0.25">
      <c r="A102" s="7">
        <f>weather_data!B102</f>
        <v>45858.451388888891</v>
      </c>
      <c r="B102" s="8">
        <f t="shared" si="6"/>
        <v>45858</v>
      </c>
      <c r="C102" s="9" t="str">
        <f t="shared" si="7"/>
        <v>yyyy-07</v>
      </c>
      <c r="D102" s="9">
        <f t="shared" si="8"/>
        <v>7</v>
      </c>
      <c r="E102" s="9" t="str">
        <f t="shared" si="9"/>
        <v>lipiec</v>
      </c>
      <c r="F102" s="9" t="str">
        <f t="shared" si="10"/>
        <v>Q3</v>
      </c>
      <c r="G102" s="9" t="str">
        <f t="shared" si="11"/>
        <v>Summer</v>
      </c>
      <c r="H102" s="10">
        <f>weather_data!E102-weather_data!D102</f>
        <v>-0.60000000000000142</v>
      </c>
      <c r="I102" s="9">
        <f>IF(OR(weather_data!H102="light rain",weather_data!H102="moderate rain",weather_data!H102="drizzle",weather_data!H102="thunderstorm"),1,0)</f>
        <v>0</v>
      </c>
      <c r="J102" s="9">
        <f>IF(weather_data!I102&gt;=25,1,0)</f>
        <v>0</v>
      </c>
    </row>
    <row r="103" spans="1:10" x14ac:dyDescent="0.25">
      <c r="A103" s="7">
        <f>weather_data!B103</f>
        <v>45860.25</v>
      </c>
      <c r="B103" s="8">
        <f t="shared" si="6"/>
        <v>45860</v>
      </c>
      <c r="C103" s="9" t="str">
        <f t="shared" si="7"/>
        <v>yyyy-07</v>
      </c>
      <c r="D103" s="9">
        <f t="shared" si="8"/>
        <v>7</v>
      </c>
      <c r="E103" s="9" t="str">
        <f t="shared" si="9"/>
        <v>lipiec</v>
      </c>
      <c r="F103" s="9" t="str">
        <f t="shared" si="10"/>
        <v>Q3</v>
      </c>
      <c r="G103" s="9" t="str">
        <f t="shared" si="11"/>
        <v>Summer</v>
      </c>
      <c r="H103" s="10">
        <f>weather_data!E103-weather_data!D103</f>
        <v>1</v>
      </c>
      <c r="I103" s="9">
        <f>IF(OR(weather_data!H103="light rain",weather_data!H103="moderate rain",weather_data!H103="drizzle",weather_data!H103="thunderstorm"),1,0)</f>
        <v>0</v>
      </c>
      <c r="J103" s="9">
        <f>IF(weather_data!I103&gt;=25,1,0)</f>
        <v>0</v>
      </c>
    </row>
    <row r="104" spans="1:10" x14ac:dyDescent="0.25">
      <c r="A104" s="7">
        <f>weather_data!B104</f>
        <v>45861.798611111109</v>
      </c>
      <c r="B104" s="8">
        <f t="shared" si="6"/>
        <v>45861</v>
      </c>
      <c r="C104" s="9" t="str">
        <f t="shared" si="7"/>
        <v>yyyy-07</v>
      </c>
      <c r="D104" s="9">
        <f t="shared" si="8"/>
        <v>7</v>
      </c>
      <c r="E104" s="9" t="str">
        <f t="shared" si="9"/>
        <v>lipiec</v>
      </c>
      <c r="F104" s="9" t="str">
        <f t="shared" si="10"/>
        <v>Q3</v>
      </c>
      <c r="G104" s="9" t="str">
        <f t="shared" si="11"/>
        <v>Summer</v>
      </c>
      <c r="H104" s="10">
        <f>weather_data!E104-weather_data!D104</f>
        <v>0</v>
      </c>
      <c r="I104" s="9">
        <f>IF(OR(weather_data!H104="light rain",weather_data!H104="moderate rain",weather_data!H104="drizzle",weather_data!H104="thunderstorm"),1,0)</f>
        <v>0</v>
      </c>
      <c r="J104" s="9">
        <f>IF(weather_data!I104&gt;=25,1,0)</f>
        <v>0</v>
      </c>
    </row>
    <row r="105" spans="1:10" x14ac:dyDescent="0.25">
      <c r="A105" s="7">
        <f>weather_data!B105</f>
        <v>45862.493055555547</v>
      </c>
      <c r="B105" s="8">
        <f t="shared" si="6"/>
        <v>45862</v>
      </c>
      <c r="C105" s="9" t="str">
        <f t="shared" si="7"/>
        <v>yyyy-07</v>
      </c>
      <c r="D105" s="9">
        <f t="shared" si="8"/>
        <v>7</v>
      </c>
      <c r="E105" s="9" t="str">
        <f t="shared" si="9"/>
        <v>lipiec</v>
      </c>
      <c r="F105" s="9" t="str">
        <f t="shared" si="10"/>
        <v>Q3</v>
      </c>
      <c r="G105" s="9" t="str">
        <f t="shared" si="11"/>
        <v>Summer</v>
      </c>
      <c r="H105" s="10">
        <f>weather_data!E105-weather_data!D105</f>
        <v>9.9999999999997868E-2</v>
      </c>
      <c r="I105" s="9">
        <f>IF(OR(weather_data!H105="light rain",weather_data!H105="moderate rain",weather_data!H105="drizzle",weather_data!H105="thunderstorm"),1,0)</f>
        <v>0</v>
      </c>
      <c r="J105" s="9">
        <f>IF(weather_data!I105&gt;=25,1,0)</f>
        <v>0</v>
      </c>
    </row>
    <row r="106" spans="1:10" x14ac:dyDescent="0.25">
      <c r="A106" s="7">
        <f>weather_data!B106</f>
        <v>45863.833333333343</v>
      </c>
      <c r="B106" s="8">
        <f t="shared" si="6"/>
        <v>45863</v>
      </c>
      <c r="C106" s="9" t="str">
        <f t="shared" si="7"/>
        <v>yyyy-07</v>
      </c>
      <c r="D106" s="9">
        <f t="shared" si="8"/>
        <v>7</v>
      </c>
      <c r="E106" s="9" t="str">
        <f t="shared" si="9"/>
        <v>lipiec</v>
      </c>
      <c r="F106" s="9" t="str">
        <f t="shared" si="10"/>
        <v>Q3</v>
      </c>
      <c r="G106" s="9" t="str">
        <f t="shared" si="11"/>
        <v>Summer</v>
      </c>
      <c r="H106" s="10">
        <f>weather_data!E106-weather_data!D106</f>
        <v>-0.69999999999999929</v>
      </c>
      <c r="I106" s="9">
        <f>IF(OR(weather_data!H106="light rain",weather_data!H106="moderate rain",weather_data!H106="drizzle",weather_data!H106="thunderstorm"),1,0)</f>
        <v>0</v>
      </c>
      <c r="J106" s="9">
        <f>IF(weather_data!I106&gt;=25,1,0)</f>
        <v>0</v>
      </c>
    </row>
    <row r="107" spans="1:10" x14ac:dyDescent="0.25">
      <c r="A107" s="7">
        <f>weather_data!B107</f>
        <v>45864.541666666657</v>
      </c>
      <c r="B107" s="8">
        <f t="shared" si="6"/>
        <v>45864</v>
      </c>
      <c r="C107" s="9" t="str">
        <f t="shared" si="7"/>
        <v>yyyy-07</v>
      </c>
      <c r="D107" s="9">
        <f t="shared" si="8"/>
        <v>7</v>
      </c>
      <c r="E107" s="9" t="str">
        <f t="shared" si="9"/>
        <v>lipiec</v>
      </c>
      <c r="F107" s="9" t="str">
        <f t="shared" si="10"/>
        <v>Q3</v>
      </c>
      <c r="G107" s="9" t="str">
        <f t="shared" si="11"/>
        <v>Summer</v>
      </c>
      <c r="H107" s="10">
        <f>weather_data!E107-weather_data!D107</f>
        <v>0.40000000000000213</v>
      </c>
      <c r="I107" s="9">
        <f>IF(OR(weather_data!H107="light rain",weather_data!H107="moderate rain",weather_data!H107="drizzle",weather_data!H107="thunderstorm"),1,0)</f>
        <v>1</v>
      </c>
      <c r="J107" s="9">
        <f>IF(weather_data!I107&gt;=25,1,0)</f>
        <v>1</v>
      </c>
    </row>
    <row r="108" spans="1:10" x14ac:dyDescent="0.25">
      <c r="A108" s="7">
        <f>weather_data!B108</f>
        <v>45865.840277777781</v>
      </c>
      <c r="B108" s="8">
        <f t="shared" si="6"/>
        <v>45865</v>
      </c>
      <c r="C108" s="9" t="str">
        <f t="shared" si="7"/>
        <v>yyyy-07</v>
      </c>
      <c r="D108" s="9">
        <f t="shared" si="8"/>
        <v>7</v>
      </c>
      <c r="E108" s="9" t="str">
        <f t="shared" si="9"/>
        <v>lipiec</v>
      </c>
      <c r="F108" s="9" t="str">
        <f t="shared" si="10"/>
        <v>Q3</v>
      </c>
      <c r="G108" s="9" t="str">
        <f t="shared" si="11"/>
        <v>Summer</v>
      </c>
      <c r="H108" s="10">
        <f>weather_data!E108-weather_data!D108</f>
        <v>0.19999999999999929</v>
      </c>
      <c r="I108" s="9">
        <f>IF(OR(weather_data!H108="light rain",weather_data!H108="moderate rain",weather_data!H108="drizzle",weather_data!H108="thunderstorm"),1,0)</f>
        <v>0</v>
      </c>
      <c r="J108" s="9">
        <f>IF(weather_data!I108&gt;=25,1,0)</f>
        <v>0</v>
      </c>
    </row>
    <row r="109" spans="1:10" x14ac:dyDescent="0.25">
      <c r="A109" s="7">
        <f>weather_data!B109</f>
        <v>45866.868055555547</v>
      </c>
      <c r="B109" s="8">
        <f t="shared" si="6"/>
        <v>45866</v>
      </c>
      <c r="C109" s="9" t="str">
        <f t="shared" si="7"/>
        <v>yyyy-07</v>
      </c>
      <c r="D109" s="9">
        <f t="shared" si="8"/>
        <v>7</v>
      </c>
      <c r="E109" s="9" t="str">
        <f t="shared" si="9"/>
        <v>lipiec</v>
      </c>
      <c r="F109" s="9" t="str">
        <f t="shared" si="10"/>
        <v>Q3</v>
      </c>
      <c r="G109" s="9" t="str">
        <f t="shared" si="11"/>
        <v>Summer</v>
      </c>
      <c r="H109" s="10">
        <f>weather_data!E109-weather_data!D109</f>
        <v>0.5</v>
      </c>
      <c r="I109" s="9">
        <f>IF(OR(weather_data!H109="light rain",weather_data!H109="moderate rain",weather_data!H109="drizzle",weather_data!H109="thunderstorm"),1,0)</f>
        <v>0</v>
      </c>
      <c r="J109" s="9">
        <f>IF(weather_data!I109&gt;=25,1,0)</f>
        <v>0</v>
      </c>
    </row>
    <row r="110" spans="1:10" x14ac:dyDescent="0.25">
      <c r="A110" s="7">
        <f>weather_data!B110</f>
        <v>45868.6875</v>
      </c>
      <c r="B110" s="8">
        <f t="shared" si="6"/>
        <v>45868</v>
      </c>
      <c r="C110" s="9" t="str">
        <f t="shared" si="7"/>
        <v>yyyy-07</v>
      </c>
      <c r="D110" s="9">
        <f t="shared" si="8"/>
        <v>7</v>
      </c>
      <c r="E110" s="9" t="str">
        <f t="shared" si="9"/>
        <v>lipiec</v>
      </c>
      <c r="F110" s="9" t="str">
        <f t="shared" si="10"/>
        <v>Q3</v>
      </c>
      <c r="G110" s="9" t="str">
        <f t="shared" si="11"/>
        <v>Summer</v>
      </c>
      <c r="H110" s="10">
        <f>weather_data!E110-weather_data!D110</f>
        <v>0.39999999999999858</v>
      </c>
      <c r="I110" s="9">
        <f>IF(OR(weather_data!H110="light rain",weather_data!H110="moderate rain",weather_data!H110="drizzle",weather_data!H110="thunderstorm"),1,0)</f>
        <v>0</v>
      </c>
      <c r="J110" s="9">
        <f>IF(weather_data!I110&gt;=25,1,0)</f>
        <v>0</v>
      </c>
    </row>
    <row r="111" spans="1:10" x14ac:dyDescent="0.25">
      <c r="A111" s="7">
        <f>weather_data!B111</f>
        <v>45869.819444444453</v>
      </c>
      <c r="B111" s="8">
        <f t="shared" si="6"/>
        <v>45869</v>
      </c>
      <c r="C111" s="9" t="str">
        <f t="shared" si="7"/>
        <v>yyyy-07</v>
      </c>
      <c r="D111" s="9">
        <f t="shared" si="8"/>
        <v>7</v>
      </c>
      <c r="E111" s="9" t="str">
        <f t="shared" si="9"/>
        <v>lipiec</v>
      </c>
      <c r="F111" s="9" t="str">
        <f t="shared" si="10"/>
        <v>Q3</v>
      </c>
      <c r="G111" s="9" t="str">
        <f t="shared" si="11"/>
        <v>Summer</v>
      </c>
      <c r="H111" s="10">
        <f>weather_data!E111-weather_data!D111</f>
        <v>0.59999999999999787</v>
      </c>
      <c r="I111" s="9">
        <f>IF(OR(weather_data!H111="light rain",weather_data!H111="moderate rain",weather_data!H111="drizzle",weather_data!H111="thunderstorm"),1,0)</f>
        <v>0</v>
      </c>
      <c r="J111" s="9">
        <f>IF(weather_data!I111&gt;=25,1,0)</f>
        <v>0</v>
      </c>
    </row>
    <row r="112" spans="1:10" x14ac:dyDescent="0.25">
      <c r="A112" s="7">
        <f>weather_data!B112</f>
        <v>45870.840277777781</v>
      </c>
      <c r="B112" s="8">
        <f t="shared" si="6"/>
        <v>45870</v>
      </c>
      <c r="C112" s="9" t="str">
        <f t="shared" si="7"/>
        <v>yyyy-08</v>
      </c>
      <c r="D112" s="9">
        <f t="shared" si="8"/>
        <v>8</v>
      </c>
      <c r="E112" s="9" t="str">
        <f t="shared" si="9"/>
        <v>sierpień</v>
      </c>
      <c r="F112" s="9" t="str">
        <f t="shared" si="10"/>
        <v>Q3</v>
      </c>
      <c r="G112" s="9" t="str">
        <f t="shared" si="11"/>
        <v>Summer</v>
      </c>
      <c r="H112" s="10">
        <f>weather_data!E112-weather_data!D112</f>
        <v>0.60000000000000142</v>
      </c>
      <c r="I112" s="9">
        <f>IF(OR(weather_data!H112="light rain",weather_data!H112="moderate rain",weather_data!H112="drizzle",weather_data!H112="thunderstorm"),1,0)</f>
        <v>0</v>
      </c>
      <c r="J112" s="9">
        <f>IF(weather_data!I112&gt;=25,1,0)</f>
        <v>0</v>
      </c>
    </row>
    <row r="113" spans="1:10" x14ac:dyDescent="0.25">
      <c r="A113" s="7">
        <f>weather_data!B113</f>
        <v>45871.895833333343</v>
      </c>
      <c r="B113" s="8">
        <f t="shared" si="6"/>
        <v>45871</v>
      </c>
      <c r="C113" s="9" t="str">
        <f t="shared" si="7"/>
        <v>yyyy-08</v>
      </c>
      <c r="D113" s="9">
        <f t="shared" si="8"/>
        <v>8</v>
      </c>
      <c r="E113" s="9" t="str">
        <f t="shared" si="9"/>
        <v>sierpień</v>
      </c>
      <c r="F113" s="9" t="str">
        <f t="shared" si="10"/>
        <v>Q3</v>
      </c>
      <c r="G113" s="9" t="str">
        <f t="shared" si="11"/>
        <v>Summer</v>
      </c>
      <c r="H113" s="10">
        <f>weather_data!E113-weather_data!D113</f>
        <v>0.5</v>
      </c>
      <c r="I113" s="9">
        <f>IF(OR(weather_data!H113="light rain",weather_data!H113="moderate rain",weather_data!H113="drizzle",weather_data!H113="thunderstorm"),1,0)</f>
        <v>0</v>
      </c>
      <c r="J113" s="9">
        <f>IF(weather_data!I113&gt;=25,1,0)</f>
        <v>0</v>
      </c>
    </row>
    <row r="114" spans="1:10" x14ac:dyDescent="0.25">
      <c r="A114" s="7">
        <f>weather_data!B114</f>
        <v>45872.590277777781</v>
      </c>
      <c r="B114" s="8">
        <f t="shared" si="6"/>
        <v>45872</v>
      </c>
      <c r="C114" s="9" t="str">
        <f t="shared" si="7"/>
        <v>yyyy-08</v>
      </c>
      <c r="D114" s="9">
        <f t="shared" si="8"/>
        <v>8</v>
      </c>
      <c r="E114" s="9" t="str">
        <f t="shared" si="9"/>
        <v>sierpień</v>
      </c>
      <c r="F114" s="9" t="str">
        <f t="shared" si="10"/>
        <v>Q3</v>
      </c>
      <c r="G114" s="9" t="str">
        <f t="shared" si="11"/>
        <v>Summer</v>
      </c>
      <c r="H114" s="10">
        <f>weather_data!E114-weather_data!D114</f>
        <v>-0.89999999999999858</v>
      </c>
      <c r="I114" s="9">
        <f>IF(OR(weather_data!H114="light rain",weather_data!H114="moderate rain",weather_data!H114="drizzle",weather_data!H114="thunderstorm"),1,0)</f>
        <v>0</v>
      </c>
      <c r="J114" s="9">
        <f>IF(weather_data!I114&gt;=25,1,0)</f>
        <v>0</v>
      </c>
    </row>
    <row r="115" spans="1:10" x14ac:dyDescent="0.25">
      <c r="A115" s="7">
        <f>weather_data!B115</f>
        <v>45873.611111111109</v>
      </c>
      <c r="B115" s="8">
        <f t="shared" si="6"/>
        <v>45873</v>
      </c>
      <c r="C115" s="9" t="str">
        <f t="shared" si="7"/>
        <v>yyyy-08</v>
      </c>
      <c r="D115" s="9">
        <f t="shared" si="8"/>
        <v>8</v>
      </c>
      <c r="E115" s="9" t="str">
        <f t="shared" si="9"/>
        <v>sierpień</v>
      </c>
      <c r="F115" s="9" t="str">
        <f t="shared" si="10"/>
        <v>Q3</v>
      </c>
      <c r="G115" s="9" t="str">
        <f t="shared" si="11"/>
        <v>Summer</v>
      </c>
      <c r="H115" s="10">
        <f>weather_data!E115-weather_data!D115</f>
        <v>-0.89999999999999858</v>
      </c>
      <c r="I115" s="9">
        <f>IF(OR(weather_data!H115="light rain",weather_data!H115="moderate rain",weather_data!H115="drizzle",weather_data!H115="thunderstorm"),1,0)</f>
        <v>1</v>
      </c>
      <c r="J115" s="9">
        <f>IF(weather_data!I115&gt;=25,1,0)</f>
        <v>0</v>
      </c>
    </row>
    <row r="116" spans="1:10" x14ac:dyDescent="0.25">
      <c r="A116" s="7">
        <f>weather_data!B116</f>
        <v>45874.909722222219</v>
      </c>
      <c r="B116" s="8">
        <f t="shared" si="6"/>
        <v>45874</v>
      </c>
      <c r="C116" s="9" t="str">
        <f t="shared" si="7"/>
        <v>yyyy-08</v>
      </c>
      <c r="D116" s="9">
        <f t="shared" si="8"/>
        <v>8</v>
      </c>
      <c r="E116" s="9" t="str">
        <f t="shared" si="9"/>
        <v>sierpień</v>
      </c>
      <c r="F116" s="9" t="str">
        <f t="shared" si="10"/>
        <v>Q3</v>
      </c>
      <c r="G116" s="9" t="str">
        <f t="shared" si="11"/>
        <v>Summer</v>
      </c>
      <c r="H116" s="10">
        <f>weather_data!E116-weather_data!D116</f>
        <v>-0.80000000000000071</v>
      </c>
      <c r="I116" s="9">
        <f>IF(OR(weather_data!H116="light rain",weather_data!H116="moderate rain",weather_data!H116="drizzle",weather_data!H116="thunderstorm"),1,0)</f>
        <v>0</v>
      </c>
      <c r="J116" s="9">
        <f>IF(weather_data!I116&gt;=25,1,0)</f>
        <v>0</v>
      </c>
    </row>
    <row r="117" spans="1:10" x14ac:dyDescent="0.25">
      <c r="A117" s="7">
        <f>weather_data!B117</f>
        <v>45875.555555555547</v>
      </c>
      <c r="B117" s="8">
        <f t="shared" si="6"/>
        <v>45875</v>
      </c>
      <c r="C117" s="9" t="str">
        <f t="shared" si="7"/>
        <v>yyyy-08</v>
      </c>
      <c r="D117" s="9">
        <f t="shared" si="8"/>
        <v>8</v>
      </c>
      <c r="E117" s="9" t="str">
        <f t="shared" si="9"/>
        <v>sierpień</v>
      </c>
      <c r="F117" s="9" t="str">
        <f t="shared" si="10"/>
        <v>Q3</v>
      </c>
      <c r="G117" s="9" t="str">
        <f t="shared" si="11"/>
        <v>Summer</v>
      </c>
      <c r="H117" s="10">
        <f>weather_data!E117-weather_data!D117</f>
        <v>-0.59999999999999787</v>
      </c>
      <c r="I117" s="9">
        <f>IF(OR(weather_data!H117="light rain",weather_data!H117="moderate rain",weather_data!H117="drizzle",weather_data!H117="thunderstorm"),1,0)</f>
        <v>0</v>
      </c>
      <c r="J117" s="9">
        <f>IF(weather_data!I117&gt;=25,1,0)</f>
        <v>0</v>
      </c>
    </row>
    <row r="118" spans="1:10" x14ac:dyDescent="0.25">
      <c r="A118" s="7">
        <f>weather_data!B118</f>
        <v>45876.833333333343</v>
      </c>
      <c r="B118" s="8">
        <f t="shared" si="6"/>
        <v>45876</v>
      </c>
      <c r="C118" s="9" t="str">
        <f t="shared" si="7"/>
        <v>yyyy-08</v>
      </c>
      <c r="D118" s="9">
        <f t="shared" si="8"/>
        <v>8</v>
      </c>
      <c r="E118" s="9" t="str">
        <f t="shared" si="9"/>
        <v>sierpień</v>
      </c>
      <c r="F118" s="9" t="str">
        <f t="shared" si="10"/>
        <v>Q3</v>
      </c>
      <c r="G118" s="9" t="str">
        <f t="shared" si="11"/>
        <v>Summer</v>
      </c>
      <c r="H118" s="10">
        <f>weather_data!E118-weather_data!D118</f>
        <v>1.1000000000000014</v>
      </c>
      <c r="I118" s="9">
        <f>IF(OR(weather_data!H118="light rain",weather_data!H118="moderate rain",weather_data!H118="drizzle",weather_data!H118="thunderstorm"),1,0)</f>
        <v>1</v>
      </c>
      <c r="J118" s="9">
        <f>IF(weather_data!I118&gt;=25,1,0)</f>
        <v>0</v>
      </c>
    </row>
    <row r="119" spans="1:10" x14ac:dyDescent="0.25">
      <c r="A119" s="7">
        <f>weather_data!B119</f>
        <v>45877.631944444453</v>
      </c>
      <c r="B119" s="8">
        <f t="shared" si="6"/>
        <v>45877</v>
      </c>
      <c r="C119" s="9" t="str">
        <f t="shared" si="7"/>
        <v>yyyy-08</v>
      </c>
      <c r="D119" s="9">
        <f t="shared" si="8"/>
        <v>8</v>
      </c>
      <c r="E119" s="9" t="str">
        <f t="shared" si="9"/>
        <v>sierpień</v>
      </c>
      <c r="F119" s="9" t="str">
        <f t="shared" si="10"/>
        <v>Q3</v>
      </c>
      <c r="G119" s="9" t="str">
        <f t="shared" si="11"/>
        <v>Summer</v>
      </c>
      <c r="H119" s="10">
        <f>weather_data!E119-weather_data!D119</f>
        <v>-1.1000000000000014</v>
      </c>
      <c r="I119" s="9">
        <f>IF(OR(weather_data!H119="light rain",weather_data!H119="moderate rain",weather_data!H119="drizzle",weather_data!H119="thunderstorm"),1,0)</f>
        <v>0</v>
      </c>
      <c r="J119" s="9">
        <f>IF(weather_data!I119&gt;=25,1,0)</f>
        <v>0</v>
      </c>
    </row>
    <row r="120" spans="1:10" x14ac:dyDescent="0.25">
      <c r="A120" s="7">
        <f>weather_data!B120</f>
        <v>45878.597222222219</v>
      </c>
      <c r="B120" s="8">
        <f t="shared" si="6"/>
        <v>45878</v>
      </c>
      <c r="C120" s="9" t="str">
        <f t="shared" si="7"/>
        <v>yyyy-08</v>
      </c>
      <c r="D120" s="9">
        <f t="shared" si="8"/>
        <v>8</v>
      </c>
      <c r="E120" s="9" t="str">
        <f t="shared" si="9"/>
        <v>sierpień</v>
      </c>
      <c r="F120" s="9" t="str">
        <f t="shared" si="10"/>
        <v>Q3</v>
      </c>
      <c r="G120" s="9" t="str">
        <f t="shared" si="11"/>
        <v>Summer</v>
      </c>
      <c r="H120" s="10">
        <f>weather_data!E120-weather_data!D120</f>
        <v>0.30000000000000071</v>
      </c>
      <c r="I120" s="9">
        <f>IF(OR(weather_data!H120="light rain",weather_data!H120="moderate rain",weather_data!H120="drizzle",weather_data!H120="thunderstorm"),1,0)</f>
        <v>0</v>
      </c>
      <c r="J120" s="9">
        <f>IF(weather_data!I120&gt;=25,1,0)</f>
        <v>0</v>
      </c>
    </row>
    <row r="121" spans="1:10" x14ac:dyDescent="0.25">
      <c r="A121" s="7">
        <f>weather_data!B121</f>
        <v>45879.694444444453</v>
      </c>
      <c r="B121" s="8">
        <f t="shared" si="6"/>
        <v>45879</v>
      </c>
      <c r="C121" s="9" t="str">
        <f t="shared" si="7"/>
        <v>yyyy-08</v>
      </c>
      <c r="D121" s="9">
        <f t="shared" si="8"/>
        <v>8</v>
      </c>
      <c r="E121" s="9" t="str">
        <f t="shared" si="9"/>
        <v>sierpień</v>
      </c>
      <c r="F121" s="9" t="str">
        <f t="shared" si="10"/>
        <v>Q3</v>
      </c>
      <c r="G121" s="9" t="str">
        <f t="shared" si="11"/>
        <v>Summer</v>
      </c>
      <c r="H121" s="10">
        <f>weather_data!E121-weather_data!D121</f>
        <v>0.39999999999999858</v>
      </c>
      <c r="I121" s="9">
        <f>IF(OR(weather_data!H121="light rain",weather_data!H121="moderate rain",weather_data!H121="drizzle",weather_data!H121="thunderstorm"),1,0)</f>
        <v>0</v>
      </c>
      <c r="J121" s="9">
        <f>IF(weather_data!I121&gt;=25,1,0)</f>
        <v>0</v>
      </c>
    </row>
    <row r="122" spans="1:10" x14ac:dyDescent="0.25">
      <c r="A122" s="7">
        <f>weather_data!B122</f>
        <v>45880.340277777781</v>
      </c>
      <c r="B122" s="8">
        <f t="shared" si="6"/>
        <v>45880</v>
      </c>
      <c r="C122" s="9" t="str">
        <f t="shared" si="7"/>
        <v>yyyy-08</v>
      </c>
      <c r="D122" s="9">
        <f t="shared" si="8"/>
        <v>8</v>
      </c>
      <c r="E122" s="9" t="str">
        <f t="shared" si="9"/>
        <v>sierpień</v>
      </c>
      <c r="F122" s="9" t="str">
        <f t="shared" si="10"/>
        <v>Q3</v>
      </c>
      <c r="G122" s="9" t="str">
        <f t="shared" si="11"/>
        <v>Summer</v>
      </c>
      <c r="H122" s="10">
        <f>weather_data!E122-weather_data!D122</f>
        <v>0.10000000000000142</v>
      </c>
      <c r="I122" s="9">
        <f>IF(OR(weather_data!H122="light rain",weather_data!H122="moderate rain",weather_data!H122="drizzle",weather_data!H122="thunderstorm"),1,0)</f>
        <v>1</v>
      </c>
      <c r="J122" s="9">
        <f>IF(weather_data!I122&gt;=25,1,0)</f>
        <v>0</v>
      </c>
    </row>
    <row r="123" spans="1:10" x14ac:dyDescent="0.25">
      <c r="A123" s="7">
        <f>weather_data!B123</f>
        <v>45881.423611111109</v>
      </c>
      <c r="B123" s="8">
        <f t="shared" si="6"/>
        <v>45881</v>
      </c>
      <c r="C123" s="9" t="str">
        <f t="shared" si="7"/>
        <v>yyyy-08</v>
      </c>
      <c r="D123" s="9">
        <f t="shared" si="8"/>
        <v>8</v>
      </c>
      <c r="E123" s="9" t="str">
        <f t="shared" si="9"/>
        <v>sierpień</v>
      </c>
      <c r="F123" s="9" t="str">
        <f t="shared" si="10"/>
        <v>Q3</v>
      </c>
      <c r="G123" s="9" t="str">
        <f t="shared" si="11"/>
        <v>Summer</v>
      </c>
      <c r="H123" s="10">
        <f>weather_data!E123-weather_data!D123</f>
        <v>0.80000000000000071</v>
      </c>
      <c r="I123" s="9">
        <f>IF(OR(weather_data!H123="light rain",weather_data!H123="moderate rain",weather_data!H123="drizzle",weather_data!H123="thunderstorm"),1,0)</f>
        <v>0</v>
      </c>
      <c r="J123" s="9">
        <f>IF(weather_data!I123&gt;=25,1,0)</f>
        <v>0</v>
      </c>
    </row>
    <row r="124" spans="1:10" x14ac:dyDescent="0.25">
      <c r="A124" s="7">
        <f>weather_data!B124</f>
        <v>45882.784722222219</v>
      </c>
      <c r="B124" s="8">
        <f t="shared" si="6"/>
        <v>45882</v>
      </c>
      <c r="C124" s="9" t="str">
        <f t="shared" si="7"/>
        <v>yyyy-08</v>
      </c>
      <c r="D124" s="9">
        <f t="shared" si="8"/>
        <v>8</v>
      </c>
      <c r="E124" s="9" t="str">
        <f t="shared" si="9"/>
        <v>sierpień</v>
      </c>
      <c r="F124" s="9" t="str">
        <f t="shared" si="10"/>
        <v>Q3</v>
      </c>
      <c r="G124" s="9" t="str">
        <f t="shared" si="11"/>
        <v>Summer</v>
      </c>
      <c r="H124" s="10">
        <f>weather_data!E124-weather_data!D124</f>
        <v>0.60000000000000142</v>
      </c>
      <c r="I124" s="9">
        <f>IF(OR(weather_data!H124="light rain",weather_data!H124="moderate rain",weather_data!H124="drizzle",weather_data!H124="thunderstorm"),1,0)</f>
        <v>1</v>
      </c>
      <c r="J124" s="9">
        <f>IF(weather_data!I124&gt;=25,1,0)</f>
        <v>0</v>
      </c>
    </row>
    <row r="125" spans="1:10" x14ac:dyDescent="0.25">
      <c r="A125" s="7">
        <f>weather_data!B125</f>
        <v>45883.451388888891</v>
      </c>
      <c r="B125" s="8">
        <f t="shared" si="6"/>
        <v>45883</v>
      </c>
      <c r="C125" s="9" t="str">
        <f t="shared" si="7"/>
        <v>yyyy-08</v>
      </c>
      <c r="D125" s="9">
        <f t="shared" si="8"/>
        <v>8</v>
      </c>
      <c r="E125" s="9" t="str">
        <f t="shared" si="9"/>
        <v>sierpień</v>
      </c>
      <c r="F125" s="9" t="str">
        <f t="shared" si="10"/>
        <v>Q3</v>
      </c>
      <c r="G125" s="9" t="str">
        <f t="shared" si="11"/>
        <v>Summer</v>
      </c>
      <c r="H125" s="10">
        <f>weather_data!E125-weather_data!D125</f>
        <v>-0.10000000000000142</v>
      </c>
      <c r="I125" s="9">
        <f>IF(OR(weather_data!H125="light rain",weather_data!H125="moderate rain",weather_data!H125="drizzle",weather_data!H125="thunderstorm"),1,0)</f>
        <v>0</v>
      </c>
      <c r="J125" s="9">
        <f>IF(weather_data!I125&gt;=25,1,0)</f>
        <v>0</v>
      </c>
    </row>
    <row r="126" spans="1:10" x14ac:dyDescent="0.25">
      <c r="A126" s="7">
        <f>weather_data!B126</f>
        <v>45884.5</v>
      </c>
      <c r="B126" s="8">
        <f t="shared" si="6"/>
        <v>45884</v>
      </c>
      <c r="C126" s="9" t="str">
        <f t="shared" si="7"/>
        <v>yyyy-08</v>
      </c>
      <c r="D126" s="9">
        <f t="shared" si="8"/>
        <v>8</v>
      </c>
      <c r="E126" s="9" t="str">
        <f t="shared" si="9"/>
        <v>sierpień</v>
      </c>
      <c r="F126" s="9" t="str">
        <f t="shared" si="10"/>
        <v>Q3</v>
      </c>
      <c r="G126" s="9" t="str">
        <f t="shared" si="11"/>
        <v>Summer</v>
      </c>
      <c r="H126" s="10">
        <f>weather_data!E126-weather_data!D126</f>
        <v>-1</v>
      </c>
      <c r="I126" s="9">
        <f>IF(OR(weather_data!H126="light rain",weather_data!H126="moderate rain",weather_data!H126="drizzle",weather_data!H126="thunderstorm"),1,0)</f>
        <v>0</v>
      </c>
      <c r="J126" s="9">
        <f>IF(weather_data!I126&gt;=25,1,0)</f>
        <v>0</v>
      </c>
    </row>
    <row r="127" spans="1:10" x14ac:dyDescent="0.25">
      <c r="A127" s="7">
        <f>weather_data!B127</f>
        <v>45885.8125</v>
      </c>
      <c r="B127" s="8">
        <f t="shared" si="6"/>
        <v>45885</v>
      </c>
      <c r="C127" s="9" t="str">
        <f t="shared" si="7"/>
        <v>yyyy-08</v>
      </c>
      <c r="D127" s="9">
        <f t="shared" si="8"/>
        <v>8</v>
      </c>
      <c r="E127" s="9" t="str">
        <f t="shared" si="9"/>
        <v>sierpień</v>
      </c>
      <c r="F127" s="9" t="str">
        <f t="shared" si="10"/>
        <v>Q3</v>
      </c>
      <c r="G127" s="9" t="str">
        <f t="shared" si="11"/>
        <v>Summer</v>
      </c>
      <c r="H127" s="10">
        <f>weather_data!E127-weather_data!D127</f>
        <v>0.80000000000000071</v>
      </c>
      <c r="I127" s="9">
        <f>IF(OR(weather_data!H127="light rain",weather_data!H127="moderate rain",weather_data!H127="drizzle",weather_data!H127="thunderstorm"),1,0)</f>
        <v>0</v>
      </c>
      <c r="J127" s="9">
        <f>IF(weather_data!I127&gt;=25,1,0)</f>
        <v>0</v>
      </c>
    </row>
    <row r="128" spans="1:10" x14ac:dyDescent="0.25">
      <c r="A128" s="7">
        <f>weather_data!B128</f>
        <v>45886.694444444453</v>
      </c>
      <c r="B128" s="8">
        <f t="shared" si="6"/>
        <v>45886</v>
      </c>
      <c r="C128" s="9" t="str">
        <f t="shared" si="7"/>
        <v>yyyy-08</v>
      </c>
      <c r="D128" s="9">
        <f t="shared" si="8"/>
        <v>8</v>
      </c>
      <c r="E128" s="9" t="str">
        <f t="shared" si="9"/>
        <v>sierpień</v>
      </c>
      <c r="F128" s="9" t="str">
        <f t="shared" si="10"/>
        <v>Q3</v>
      </c>
      <c r="G128" s="9" t="str">
        <f t="shared" si="11"/>
        <v>Summer</v>
      </c>
      <c r="H128" s="10">
        <f>weather_data!E128-weather_data!D128</f>
        <v>-1</v>
      </c>
      <c r="I128" s="9">
        <f>IF(OR(weather_data!H128="light rain",weather_data!H128="moderate rain",weather_data!H128="drizzle",weather_data!H128="thunderstorm"),1,0)</f>
        <v>0</v>
      </c>
      <c r="J128" s="9">
        <f>IF(weather_data!I128&gt;=25,1,0)</f>
        <v>0</v>
      </c>
    </row>
    <row r="129" spans="1:10" x14ac:dyDescent="0.25">
      <c r="A129" s="7">
        <f>weather_data!B129</f>
        <v>45887.854166666657</v>
      </c>
      <c r="B129" s="8">
        <f t="shared" si="6"/>
        <v>45887</v>
      </c>
      <c r="C129" s="9" t="str">
        <f t="shared" si="7"/>
        <v>yyyy-08</v>
      </c>
      <c r="D129" s="9">
        <f t="shared" si="8"/>
        <v>8</v>
      </c>
      <c r="E129" s="9" t="str">
        <f t="shared" si="9"/>
        <v>sierpień</v>
      </c>
      <c r="F129" s="9" t="str">
        <f t="shared" si="10"/>
        <v>Q3</v>
      </c>
      <c r="G129" s="9" t="str">
        <f t="shared" si="11"/>
        <v>Summer</v>
      </c>
      <c r="H129" s="10">
        <f>weather_data!E129-weather_data!D129</f>
        <v>1.1000000000000014</v>
      </c>
      <c r="I129" s="9">
        <f>IF(OR(weather_data!H129="light rain",weather_data!H129="moderate rain",weather_data!H129="drizzle",weather_data!H129="thunderstorm"),1,0)</f>
        <v>0</v>
      </c>
      <c r="J129" s="9">
        <f>IF(weather_data!I129&gt;=25,1,0)</f>
        <v>0</v>
      </c>
    </row>
    <row r="130" spans="1:10" x14ac:dyDescent="0.25">
      <c r="A130" s="7">
        <f>weather_data!B130</f>
        <v>45888.298611111109</v>
      </c>
      <c r="B130" s="8">
        <f t="shared" ref="B130:B193" si="12">INT(A130)</f>
        <v>45888</v>
      </c>
      <c r="C130" s="9" t="str">
        <f t="shared" ref="C130:C193" si="13">TEXT(B130,"yyyy-mm")</f>
        <v>yyyy-08</v>
      </c>
      <c r="D130" s="9">
        <f t="shared" ref="D130:D193" si="14">MONTH(B130)</f>
        <v>8</v>
      </c>
      <c r="E130" s="9" t="str">
        <f t="shared" ref="E130:E193" si="15">TEXT(B130,"mmmm")</f>
        <v>sierpień</v>
      </c>
      <c r="F130" s="9" t="str">
        <f t="shared" ref="F130:F193" si="16">"Q"&amp;ROUNDUP(D130/3,0)</f>
        <v>Q3</v>
      </c>
      <c r="G130" s="9" t="str">
        <f t="shared" ref="G130:G193" si="17">IF(OR(D130=12,D130&lt;=2),"Winter",IF(D130&lt;=5,"Spring",IF(D130&lt;=8,"Summer","Autumn")))</f>
        <v>Summer</v>
      </c>
      <c r="H130" s="10">
        <f>weather_data!E130-weather_data!D130</f>
        <v>0.5</v>
      </c>
      <c r="I130" s="9">
        <f>IF(OR(weather_data!H130="light rain",weather_data!H130="moderate rain",weather_data!H130="drizzle",weather_data!H130="thunderstorm"),1,0)</f>
        <v>1</v>
      </c>
      <c r="J130" s="9">
        <f>IF(weather_data!I130&gt;=25,1,0)</f>
        <v>0</v>
      </c>
    </row>
    <row r="131" spans="1:10" x14ac:dyDescent="0.25">
      <c r="A131" s="7">
        <f>weather_data!B131</f>
        <v>45889.8125</v>
      </c>
      <c r="B131" s="8">
        <f t="shared" si="12"/>
        <v>45889</v>
      </c>
      <c r="C131" s="9" t="str">
        <f t="shared" si="13"/>
        <v>yyyy-08</v>
      </c>
      <c r="D131" s="9">
        <f t="shared" si="14"/>
        <v>8</v>
      </c>
      <c r="E131" s="9" t="str">
        <f t="shared" si="15"/>
        <v>sierpień</v>
      </c>
      <c r="F131" s="9" t="str">
        <f t="shared" si="16"/>
        <v>Q3</v>
      </c>
      <c r="G131" s="9" t="str">
        <f t="shared" si="17"/>
        <v>Summer</v>
      </c>
      <c r="H131" s="10">
        <f>weather_data!E131-weather_data!D131</f>
        <v>1.5</v>
      </c>
      <c r="I131" s="9">
        <f>IF(OR(weather_data!H131="light rain",weather_data!H131="moderate rain",weather_data!H131="drizzle",weather_data!H131="thunderstorm"),1,0)</f>
        <v>0</v>
      </c>
      <c r="J131" s="9">
        <f>IF(weather_data!I131&gt;=25,1,0)</f>
        <v>0</v>
      </c>
    </row>
    <row r="132" spans="1:10" x14ac:dyDescent="0.25">
      <c r="A132" s="7">
        <f>weather_data!B132</f>
        <v>45890.277777777781</v>
      </c>
      <c r="B132" s="8">
        <f t="shared" si="12"/>
        <v>45890</v>
      </c>
      <c r="C132" s="9" t="str">
        <f t="shared" si="13"/>
        <v>yyyy-08</v>
      </c>
      <c r="D132" s="9">
        <f t="shared" si="14"/>
        <v>8</v>
      </c>
      <c r="E132" s="9" t="str">
        <f t="shared" si="15"/>
        <v>sierpień</v>
      </c>
      <c r="F132" s="9" t="str">
        <f t="shared" si="16"/>
        <v>Q3</v>
      </c>
      <c r="G132" s="9" t="str">
        <f t="shared" si="17"/>
        <v>Summer</v>
      </c>
      <c r="H132" s="10">
        <f>weather_data!E132-weather_data!D132</f>
        <v>0.30000000000000071</v>
      </c>
      <c r="I132" s="9">
        <f>IF(OR(weather_data!H132="light rain",weather_data!H132="moderate rain",weather_data!H132="drizzle",weather_data!H132="thunderstorm"),1,0)</f>
        <v>0</v>
      </c>
      <c r="J132" s="9">
        <f>IF(weather_data!I132&gt;=25,1,0)</f>
        <v>0</v>
      </c>
    </row>
    <row r="133" spans="1:10" x14ac:dyDescent="0.25">
      <c r="A133" s="7">
        <f>weather_data!B133</f>
        <v>45891.770833333343</v>
      </c>
      <c r="B133" s="8">
        <f t="shared" si="12"/>
        <v>45891</v>
      </c>
      <c r="C133" s="9" t="str">
        <f t="shared" si="13"/>
        <v>yyyy-08</v>
      </c>
      <c r="D133" s="9">
        <f t="shared" si="14"/>
        <v>8</v>
      </c>
      <c r="E133" s="9" t="str">
        <f t="shared" si="15"/>
        <v>sierpień</v>
      </c>
      <c r="F133" s="9" t="str">
        <f t="shared" si="16"/>
        <v>Q3</v>
      </c>
      <c r="G133" s="9" t="str">
        <f t="shared" si="17"/>
        <v>Summer</v>
      </c>
      <c r="H133" s="10">
        <f>weather_data!E133-weather_data!D133</f>
        <v>-0.69999999999999929</v>
      </c>
      <c r="I133" s="9">
        <f>IF(OR(weather_data!H133="light rain",weather_data!H133="moderate rain",weather_data!H133="drizzle",weather_data!H133="thunderstorm"),1,0)</f>
        <v>0</v>
      </c>
      <c r="J133" s="9">
        <f>IF(weather_data!I133&gt;=25,1,0)</f>
        <v>1</v>
      </c>
    </row>
    <row r="134" spans="1:10" x14ac:dyDescent="0.25">
      <c r="A134" s="7">
        <f>weather_data!B134</f>
        <v>45892.263888888891</v>
      </c>
      <c r="B134" s="8">
        <f t="shared" si="12"/>
        <v>45892</v>
      </c>
      <c r="C134" s="9" t="str">
        <f t="shared" si="13"/>
        <v>yyyy-08</v>
      </c>
      <c r="D134" s="9">
        <f t="shared" si="14"/>
        <v>8</v>
      </c>
      <c r="E134" s="9" t="str">
        <f t="shared" si="15"/>
        <v>sierpień</v>
      </c>
      <c r="F134" s="9" t="str">
        <f t="shared" si="16"/>
        <v>Q3</v>
      </c>
      <c r="G134" s="9" t="str">
        <f t="shared" si="17"/>
        <v>Summer</v>
      </c>
      <c r="H134" s="10">
        <f>weather_data!E134-weather_data!D134</f>
        <v>1.1000000000000014</v>
      </c>
      <c r="I134" s="9">
        <f>IF(OR(weather_data!H134="light rain",weather_data!H134="moderate rain",weather_data!H134="drizzle",weather_data!H134="thunderstorm"),1,0)</f>
        <v>1</v>
      </c>
      <c r="J134" s="9">
        <f>IF(weather_data!I134&gt;=25,1,0)</f>
        <v>0</v>
      </c>
    </row>
    <row r="135" spans="1:10" x14ac:dyDescent="0.25">
      <c r="A135" s="7">
        <f>weather_data!B135</f>
        <v>45893.645833333343</v>
      </c>
      <c r="B135" s="8">
        <f t="shared" si="12"/>
        <v>45893</v>
      </c>
      <c r="C135" s="9" t="str">
        <f t="shared" si="13"/>
        <v>yyyy-08</v>
      </c>
      <c r="D135" s="9">
        <f t="shared" si="14"/>
        <v>8</v>
      </c>
      <c r="E135" s="9" t="str">
        <f t="shared" si="15"/>
        <v>sierpień</v>
      </c>
      <c r="F135" s="9" t="str">
        <f t="shared" si="16"/>
        <v>Q3</v>
      </c>
      <c r="G135" s="9" t="str">
        <f t="shared" si="17"/>
        <v>Summer</v>
      </c>
      <c r="H135" s="10">
        <f>weather_data!E135-weather_data!D135</f>
        <v>0.69999999999999929</v>
      </c>
      <c r="I135" s="9">
        <f>IF(OR(weather_data!H135="light rain",weather_data!H135="moderate rain",weather_data!H135="drizzle",weather_data!H135="thunderstorm"),1,0)</f>
        <v>0</v>
      </c>
      <c r="J135" s="9">
        <f>IF(weather_data!I135&gt;=25,1,0)</f>
        <v>0</v>
      </c>
    </row>
    <row r="136" spans="1:10" x14ac:dyDescent="0.25">
      <c r="A136" s="7">
        <f>weather_data!B136</f>
        <v>45894.819444444453</v>
      </c>
      <c r="B136" s="8">
        <f t="shared" si="12"/>
        <v>45894</v>
      </c>
      <c r="C136" s="9" t="str">
        <f t="shared" si="13"/>
        <v>yyyy-08</v>
      </c>
      <c r="D136" s="9">
        <f t="shared" si="14"/>
        <v>8</v>
      </c>
      <c r="E136" s="9" t="str">
        <f t="shared" si="15"/>
        <v>sierpień</v>
      </c>
      <c r="F136" s="9" t="str">
        <f t="shared" si="16"/>
        <v>Q3</v>
      </c>
      <c r="G136" s="9" t="str">
        <f t="shared" si="17"/>
        <v>Summer</v>
      </c>
      <c r="H136" s="10">
        <f>weather_data!E136-weather_data!D136</f>
        <v>-1</v>
      </c>
      <c r="I136" s="9">
        <f>IF(OR(weather_data!H136="light rain",weather_data!H136="moderate rain",weather_data!H136="drizzle",weather_data!H136="thunderstorm"),1,0)</f>
        <v>0</v>
      </c>
      <c r="J136" s="9">
        <f>IF(weather_data!I136&gt;=25,1,0)</f>
        <v>0</v>
      </c>
    </row>
    <row r="137" spans="1:10" x14ac:dyDescent="0.25">
      <c r="A137" s="7">
        <f>weather_data!B137</f>
        <v>45895.5625</v>
      </c>
      <c r="B137" s="8">
        <f t="shared" si="12"/>
        <v>45895</v>
      </c>
      <c r="C137" s="9" t="str">
        <f t="shared" si="13"/>
        <v>yyyy-08</v>
      </c>
      <c r="D137" s="9">
        <f t="shared" si="14"/>
        <v>8</v>
      </c>
      <c r="E137" s="9" t="str">
        <f t="shared" si="15"/>
        <v>sierpień</v>
      </c>
      <c r="F137" s="9" t="str">
        <f t="shared" si="16"/>
        <v>Q3</v>
      </c>
      <c r="G137" s="9" t="str">
        <f t="shared" si="17"/>
        <v>Summer</v>
      </c>
      <c r="H137" s="10">
        <f>weather_data!E137-weather_data!D137</f>
        <v>-0.59999999999999787</v>
      </c>
      <c r="I137" s="9">
        <f>IF(OR(weather_data!H137="light rain",weather_data!H137="moderate rain",weather_data!H137="drizzle",weather_data!H137="thunderstorm"),1,0)</f>
        <v>0</v>
      </c>
      <c r="J137" s="9">
        <f>IF(weather_data!I137&gt;=25,1,0)</f>
        <v>0</v>
      </c>
    </row>
    <row r="138" spans="1:10" x14ac:dyDescent="0.25">
      <c r="A138" s="7">
        <f>weather_data!B138</f>
        <v>45896.555555555547</v>
      </c>
      <c r="B138" s="8">
        <f t="shared" si="12"/>
        <v>45896</v>
      </c>
      <c r="C138" s="9" t="str">
        <f t="shared" si="13"/>
        <v>yyyy-08</v>
      </c>
      <c r="D138" s="9">
        <f t="shared" si="14"/>
        <v>8</v>
      </c>
      <c r="E138" s="9" t="str">
        <f t="shared" si="15"/>
        <v>sierpień</v>
      </c>
      <c r="F138" s="9" t="str">
        <f t="shared" si="16"/>
        <v>Q3</v>
      </c>
      <c r="G138" s="9" t="str">
        <f t="shared" si="17"/>
        <v>Summer</v>
      </c>
      <c r="H138" s="10">
        <f>weather_data!E138-weather_data!D138</f>
        <v>0.30000000000000071</v>
      </c>
      <c r="I138" s="9">
        <f>IF(OR(weather_data!H138="light rain",weather_data!H138="moderate rain",weather_data!H138="drizzle",weather_data!H138="thunderstorm"),1,0)</f>
        <v>0</v>
      </c>
      <c r="J138" s="9">
        <f>IF(weather_data!I138&gt;=25,1,0)</f>
        <v>0</v>
      </c>
    </row>
    <row r="139" spans="1:10" x14ac:dyDescent="0.25">
      <c r="A139" s="7">
        <f>weather_data!B139</f>
        <v>45897.8125</v>
      </c>
      <c r="B139" s="8">
        <f t="shared" si="12"/>
        <v>45897</v>
      </c>
      <c r="C139" s="9" t="str">
        <f t="shared" si="13"/>
        <v>yyyy-08</v>
      </c>
      <c r="D139" s="9">
        <f t="shared" si="14"/>
        <v>8</v>
      </c>
      <c r="E139" s="9" t="str">
        <f t="shared" si="15"/>
        <v>sierpień</v>
      </c>
      <c r="F139" s="9" t="str">
        <f t="shared" si="16"/>
        <v>Q3</v>
      </c>
      <c r="G139" s="9" t="str">
        <f t="shared" si="17"/>
        <v>Summer</v>
      </c>
      <c r="H139" s="10">
        <f>weather_data!E139-weather_data!D139</f>
        <v>0.89999999999999858</v>
      </c>
      <c r="I139" s="9">
        <f>IF(OR(weather_data!H139="light rain",weather_data!H139="moderate rain",weather_data!H139="drizzle",weather_data!H139="thunderstorm"),1,0)</f>
        <v>1</v>
      </c>
      <c r="J139" s="9">
        <f>IF(weather_data!I139&gt;=25,1,0)</f>
        <v>0</v>
      </c>
    </row>
    <row r="140" spans="1:10" x14ac:dyDescent="0.25">
      <c r="A140" s="7">
        <f>weather_data!B140</f>
        <v>45898.270833333343</v>
      </c>
      <c r="B140" s="8">
        <f t="shared" si="12"/>
        <v>45898</v>
      </c>
      <c r="C140" s="9" t="str">
        <f t="shared" si="13"/>
        <v>yyyy-08</v>
      </c>
      <c r="D140" s="9">
        <f t="shared" si="14"/>
        <v>8</v>
      </c>
      <c r="E140" s="9" t="str">
        <f t="shared" si="15"/>
        <v>sierpień</v>
      </c>
      <c r="F140" s="9" t="str">
        <f t="shared" si="16"/>
        <v>Q3</v>
      </c>
      <c r="G140" s="9" t="str">
        <f t="shared" si="17"/>
        <v>Summer</v>
      </c>
      <c r="H140" s="10">
        <f>weather_data!E140-weather_data!D140</f>
        <v>0.30000000000000071</v>
      </c>
      <c r="I140" s="9">
        <f>IF(OR(weather_data!H140="light rain",weather_data!H140="moderate rain",weather_data!H140="drizzle",weather_data!H140="thunderstorm"),1,0)</f>
        <v>0</v>
      </c>
      <c r="J140" s="9">
        <f>IF(weather_data!I140&gt;=25,1,0)</f>
        <v>0</v>
      </c>
    </row>
    <row r="141" spans="1:10" x14ac:dyDescent="0.25">
      <c r="A141" s="7">
        <f>weather_data!B141</f>
        <v>45899.701388888891</v>
      </c>
      <c r="B141" s="8">
        <f t="shared" si="12"/>
        <v>45899</v>
      </c>
      <c r="C141" s="9" t="str">
        <f t="shared" si="13"/>
        <v>yyyy-08</v>
      </c>
      <c r="D141" s="9">
        <f t="shared" si="14"/>
        <v>8</v>
      </c>
      <c r="E141" s="9" t="str">
        <f t="shared" si="15"/>
        <v>sierpień</v>
      </c>
      <c r="F141" s="9" t="str">
        <f t="shared" si="16"/>
        <v>Q3</v>
      </c>
      <c r="G141" s="9" t="str">
        <f t="shared" si="17"/>
        <v>Summer</v>
      </c>
      <c r="H141" s="10">
        <f>weather_data!E141-weather_data!D141</f>
        <v>-0.10000000000000142</v>
      </c>
      <c r="I141" s="9">
        <f>IF(OR(weather_data!H141="light rain",weather_data!H141="moderate rain",weather_data!H141="drizzle",weather_data!H141="thunderstorm"),1,0)</f>
        <v>0</v>
      </c>
      <c r="J141" s="9">
        <f>IF(weather_data!I141&gt;=25,1,0)</f>
        <v>0</v>
      </c>
    </row>
    <row r="142" spans="1:10" x14ac:dyDescent="0.25">
      <c r="A142" s="7">
        <f>weather_data!B142</f>
        <v>45900.784722222219</v>
      </c>
      <c r="B142" s="8">
        <f t="shared" si="12"/>
        <v>45900</v>
      </c>
      <c r="C142" s="9" t="str">
        <f t="shared" si="13"/>
        <v>yyyy-08</v>
      </c>
      <c r="D142" s="9">
        <f t="shared" si="14"/>
        <v>8</v>
      </c>
      <c r="E142" s="9" t="str">
        <f t="shared" si="15"/>
        <v>sierpień</v>
      </c>
      <c r="F142" s="9" t="str">
        <f t="shared" si="16"/>
        <v>Q3</v>
      </c>
      <c r="G142" s="9" t="str">
        <f t="shared" si="17"/>
        <v>Summer</v>
      </c>
      <c r="H142" s="10">
        <f>weather_data!E142-weather_data!D142</f>
        <v>2.5999999999999979</v>
      </c>
      <c r="I142" s="9">
        <f>IF(OR(weather_data!H142="light rain",weather_data!H142="moderate rain",weather_data!H142="drizzle",weather_data!H142="thunderstorm"),1,0)</f>
        <v>1</v>
      </c>
      <c r="J142" s="9">
        <f>IF(weather_data!I142&gt;=25,1,0)</f>
        <v>0</v>
      </c>
    </row>
    <row r="143" spans="1:10" x14ac:dyDescent="0.25">
      <c r="A143" s="7">
        <f>weather_data!B143</f>
        <v>45901.479166666657</v>
      </c>
      <c r="B143" s="8">
        <f t="shared" si="12"/>
        <v>45901</v>
      </c>
      <c r="C143" s="9" t="str">
        <f t="shared" si="13"/>
        <v>yyyy-09</v>
      </c>
      <c r="D143" s="9">
        <f t="shared" si="14"/>
        <v>9</v>
      </c>
      <c r="E143" s="9" t="str">
        <f t="shared" si="15"/>
        <v>wrzesień</v>
      </c>
      <c r="F143" s="9" t="str">
        <f t="shared" si="16"/>
        <v>Q3</v>
      </c>
      <c r="G143" s="9" t="str">
        <f t="shared" si="17"/>
        <v>Autumn</v>
      </c>
      <c r="H143" s="10">
        <f>weather_data!E143-weather_data!D143</f>
        <v>0.20000000000000284</v>
      </c>
      <c r="I143" s="9">
        <f>IF(OR(weather_data!H143="light rain",weather_data!H143="moderate rain",weather_data!H143="drizzle",weather_data!H143="thunderstorm"),1,0)</f>
        <v>0</v>
      </c>
      <c r="J143" s="9">
        <f>IF(weather_data!I143&gt;=25,1,0)</f>
        <v>0</v>
      </c>
    </row>
    <row r="144" spans="1:10" x14ac:dyDescent="0.25">
      <c r="A144" s="7">
        <f>weather_data!B144</f>
        <v>45902.444444444453</v>
      </c>
      <c r="B144" s="8">
        <f t="shared" si="12"/>
        <v>45902</v>
      </c>
      <c r="C144" s="9" t="str">
        <f t="shared" si="13"/>
        <v>yyyy-09</v>
      </c>
      <c r="D144" s="9">
        <f t="shared" si="14"/>
        <v>9</v>
      </c>
      <c r="E144" s="9" t="str">
        <f t="shared" si="15"/>
        <v>wrzesień</v>
      </c>
      <c r="F144" s="9" t="str">
        <f t="shared" si="16"/>
        <v>Q3</v>
      </c>
      <c r="G144" s="9" t="str">
        <f t="shared" si="17"/>
        <v>Autumn</v>
      </c>
      <c r="H144" s="10">
        <f>weather_data!E144-weather_data!D144</f>
        <v>0.5</v>
      </c>
      <c r="I144" s="9">
        <f>IF(OR(weather_data!H144="light rain",weather_data!H144="moderate rain",weather_data!H144="drizzle",weather_data!H144="thunderstorm"),1,0)</f>
        <v>0</v>
      </c>
      <c r="J144" s="9">
        <f>IF(weather_data!I144&gt;=25,1,0)</f>
        <v>0</v>
      </c>
    </row>
    <row r="145" spans="1:10" x14ac:dyDescent="0.25">
      <c r="A145" s="7">
        <f>weather_data!B145</f>
        <v>45903.270833333343</v>
      </c>
      <c r="B145" s="8">
        <f t="shared" si="12"/>
        <v>45903</v>
      </c>
      <c r="C145" s="9" t="str">
        <f t="shared" si="13"/>
        <v>yyyy-09</v>
      </c>
      <c r="D145" s="9">
        <f t="shared" si="14"/>
        <v>9</v>
      </c>
      <c r="E145" s="9" t="str">
        <f t="shared" si="15"/>
        <v>wrzesień</v>
      </c>
      <c r="F145" s="9" t="str">
        <f t="shared" si="16"/>
        <v>Q3</v>
      </c>
      <c r="G145" s="9" t="str">
        <f t="shared" si="17"/>
        <v>Autumn</v>
      </c>
      <c r="H145" s="10">
        <f>weather_data!E145-weather_data!D145</f>
        <v>-0.39999999999999858</v>
      </c>
      <c r="I145" s="9">
        <f>IF(OR(weather_data!H145="light rain",weather_data!H145="moderate rain",weather_data!H145="drizzle",weather_data!H145="thunderstorm"),1,0)</f>
        <v>1</v>
      </c>
      <c r="J145" s="9">
        <f>IF(weather_data!I145&gt;=25,1,0)</f>
        <v>0</v>
      </c>
    </row>
    <row r="146" spans="1:10" x14ac:dyDescent="0.25">
      <c r="A146" s="7">
        <f>weather_data!B146</f>
        <v>45904.25</v>
      </c>
      <c r="B146" s="8">
        <f t="shared" si="12"/>
        <v>45904</v>
      </c>
      <c r="C146" s="9" t="str">
        <f t="shared" si="13"/>
        <v>yyyy-09</v>
      </c>
      <c r="D146" s="9">
        <f t="shared" si="14"/>
        <v>9</v>
      </c>
      <c r="E146" s="9" t="str">
        <f t="shared" si="15"/>
        <v>wrzesień</v>
      </c>
      <c r="F146" s="9" t="str">
        <f t="shared" si="16"/>
        <v>Q3</v>
      </c>
      <c r="G146" s="9" t="str">
        <f t="shared" si="17"/>
        <v>Autumn</v>
      </c>
      <c r="H146" s="10">
        <f>weather_data!E146-weather_data!D146</f>
        <v>0.29999999999999716</v>
      </c>
      <c r="I146" s="9">
        <f>IF(OR(weather_data!H146="light rain",weather_data!H146="moderate rain",weather_data!H146="drizzle",weather_data!H146="thunderstorm"),1,0)</f>
        <v>0</v>
      </c>
      <c r="J146" s="9">
        <f>IF(weather_data!I146&gt;=25,1,0)</f>
        <v>0</v>
      </c>
    </row>
    <row r="147" spans="1:10" x14ac:dyDescent="0.25">
      <c r="A147" s="7">
        <f>weather_data!B147</f>
        <v>45905.798611111109</v>
      </c>
      <c r="B147" s="8">
        <f t="shared" si="12"/>
        <v>45905</v>
      </c>
      <c r="C147" s="9" t="str">
        <f t="shared" si="13"/>
        <v>yyyy-09</v>
      </c>
      <c r="D147" s="9">
        <f t="shared" si="14"/>
        <v>9</v>
      </c>
      <c r="E147" s="9" t="str">
        <f t="shared" si="15"/>
        <v>wrzesień</v>
      </c>
      <c r="F147" s="9" t="str">
        <f t="shared" si="16"/>
        <v>Q3</v>
      </c>
      <c r="G147" s="9" t="str">
        <f t="shared" si="17"/>
        <v>Autumn</v>
      </c>
      <c r="H147" s="10">
        <f>weather_data!E147-weather_data!D147</f>
        <v>1.6000000000000014</v>
      </c>
      <c r="I147" s="9">
        <f>IF(OR(weather_data!H147="light rain",weather_data!H147="moderate rain",weather_data!H147="drizzle",weather_data!H147="thunderstorm"),1,0)</f>
        <v>0</v>
      </c>
      <c r="J147" s="9">
        <f>IF(weather_data!I147&gt;=25,1,0)</f>
        <v>0</v>
      </c>
    </row>
    <row r="148" spans="1:10" x14ac:dyDescent="0.25">
      <c r="A148" s="7">
        <f>weather_data!B148</f>
        <v>45906.840277777781</v>
      </c>
      <c r="B148" s="8">
        <f t="shared" si="12"/>
        <v>45906</v>
      </c>
      <c r="C148" s="9" t="str">
        <f t="shared" si="13"/>
        <v>yyyy-09</v>
      </c>
      <c r="D148" s="9">
        <f t="shared" si="14"/>
        <v>9</v>
      </c>
      <c r="E148" s="9" t="str">
        <f t="shared" si="15"/>
        <v>wrzesień</v>
      </c>
      <c r="F148" s="9" t="str">
        <f t="shared" si="16"/>
        <v>Q3</v>
      </c>
      <c r="G148" s="9" t="str">
        <f t="shared" si="17"/>
        <v>Autumn</v>
      </c>
      <c r="H148" s="10">
        <f>weather_data!E148-weather_data!D148</f>
        <v>0.39999999999999858</v>
      </c>
      <c r="I148" s="9">
        <f>IF(OR(weather_data!H148="light rain",weather_data!H148="moderate rain",weather_data!H148="drizzle",weather_data!H148="thunderstorm"),1,0)</f>
        <v>0</v>
      </c>
      <c r="J148" s="9">
        <f>IF(weather_data!I148&gt;=25,1,0)</f>
        <v>0</v>
      </c>
    </row>
    <row r="149" spans="1:10" x14ac:dyDescent="0.25">
      <c r="A149" s="7">
        <f>weather_data!B149</f>
        <v>45907.305555555547</v>
      </c>
      <c r="B149" s="8">
        <f t="shared" si="12"/>
        <v>45907</v>
      </c>
      <c r="C149" s="9" t="str">
        <f t="shared" si="13"/>
        <v>yyyy-09</v>
      </c>
      <c r="D149" s="9">
        <f t="shared" si="14"/>
        <v>9</v>
      </c>
      <c r="E149" s="9" t="str">
        <f t="shared" si="15"/>
        <v>wrzesień</v>
      </c>
      <c r="F149" s="9" t="str">
        <f t="shared" si="16"/>
        <v>Q3</v>
      </c>
      <c r="G149" s="9" t="str">
        <f t="shared" si="17"/>
        <v>Autumn</v>
      </c>
      <c r="H149" s="10">
        <f>weather_data!E149-weather_data!D149</f>
        <v>-0.30000000000000071</v>
      </c>
      <c r="I149" s="9">
        <f>IF(OR(weather_data!H149="light rain",weather_data!H149="moderate rain",weather_data!H149="drizzle",weather_data!H149="thunderstorm"),1,0)</f>
        <v>0</v>
      </c>
      <c r="J149" s="9">
        <f>IF(weather_data!I149&gt;=25,1,0)</f>
        <v>0</v>
      </c>
    </row>
    <row r="150" spans="1:10" x14ac:dyDescent="0.25">
      <c r="A150" s="7">
        <f>weather_data!B150</f>
        <v>45908.763888888891</v>
      </c>
      <c r="B150" s="8">
        <f t="shared" si="12"/>
        <v>45908</v>
      </c>
      <c r="C150" s="9" t="str">
        <f t="shared" si="13"/>
        <v>yyyy-09</v>
      </c>
      <c r="D150" s="9">
        <f t="shared" si="14"/>
        <v>9</v>
      </c>
      <c r="E150" s="9" t="str">
        <f t="shared" si="15"/>
        <v>wrzesień</v>
      </c>
      <c r="F150" s="9" t="str">
        <f t="shared" si="16"/>
        <v>Q3</v>
      </c>
      <c r="G150" s="9" t="str">
        <f t="shared" si="17"/>
        <v>Autumn</v>
      </c>
      <c r="H150" s="10">
        <f>weather_data!E150-weather_data!D150</f>
        <v>0.39999999999999858</v>
      </c>
      <c r="I150" s="9">
        <f>IF(OR(weather_data!H150="light rain",weather_data!H150="moderate rain",weather_data!H150="drizzle",weather_data!H150="thunderstorm"),1,0)</f>
        <v>1</v>
      </c>
      <c r="J150" s="9">
        <f>IF(weather_data!I150&gt;=25,1,0)</f>
        <v>0</v>
      </c>
    </row>
    <row r="151" spans="1:10" x14ac:dyDescent="0.25">
      <c r="A151" s="7">
        <f>weather_data!B151</f>
        <v>45909.520833333343</v>
      </c>
      <c r="B151" s="8">
        <f t="shared" si="12"/>
        <v>45909</v>
      </c>
      <c r="C151" s="9" t="str">
        <f t="shared" si="13"/>
        <v>yyyy-09</v>
      </c>
      <c r="D151" s="9">
        <f t="shared" si="14"/>
        <v>9</v>
      </c>
      <c r="E151" s="9" t="str">
        <f t="shared" si="15"/>
        <v>wrzesień</v>
      </c>
      <c r="F151" s="9" t="str">
        <f t="shared" si="16"/>
        <v>Q3</v>
      </c>
      <c r="G151" s="9" t="str">
        <f t="shared" si="17"/>
        <v>Autumn</v>
      </c>
      <c r="H151" s="10">
        <f>weather_data!E151-weather_data!D151</f>
        <v>0.10000000000000142</v>
      </c>
      <c r="I151" s="9">
        <f>IF(OR(weather_data!H151="light rain",weather_data!H151="moderate rain",weather_data!H151="drizzle",weather_data!H151="thunderstorm"),1,0)</f>
        <v>1</v>
      </c>
      <c r="J151" s="9">
        <f>IF(weather_data!I151&gt;=25,1,0)</f>
        <v>0</v>
      </c>
    </row>
    <row r="152" spans="1:10" x14ac:dyDescent="0.25">
      <c r="A152" s="7">
        <f>weather_data!B152</f>
        <v>45910.680555555547</v>
      </c>
      <c r="B152" s="8">
        <f t="shared" si="12"/>
        <v>45910</v>
      </c>
      <c r="C152" s="9" t="str">
        <f t="shared" si="13"/>
        <v>yyyy-09</v>
      </c>
      <c r="D152" s="9">
        <f t="shared" si="14"/>
        <v>9</v>
      </c>
      <c r="E152" s="9" t="str">
        <f t="shared" si="15"/>
        <v>wrzesień</v>
      </c>
      <c r="F152" s="9" t="str">
        <f t="shared" si="16"/>
        <v>Q3</v>
      </c>
      <c r="G152" s="9" t="str">
        <f t="shared" si="17"/>
        <v>Autumn</v>
      </c>
      <c r="H152" s="10">
        <f>weather_data!E152-weather_data!D152</f>
        <v>1.0999999999999979</v>
      </c>
      <c r="I152" s="9">
        <f>IF(OR(weather_data!H152="light rain",weather_data!H152="moderate rain",weather_data!H152="drizzle",weather_data!H152="thunderstorm"),1,0)</f>
        <v>0</v>
      </c>
      <c r="J152" s="9">
        <f>IF(weather_data!I152&gt;=25,1,0)</f>
        <v>0</v>
      </c>
    </row>
    <row r="153" spans="1:10" x14ac:dyDescent="0.25">
      <c r="A153" s="7">
        <f>weather_data!B153</f>
        <v>45911.763888888891</v>
      </c>
      <c r="B153" s="8">
        <f t="shared" si="12"/>
        <v>45911</v>
      </c>
      <c r="C153" s="9" t="str">
        <f t="shared" si="13"/>
        <v>yyyy-09</v>
      </c>
      <c r="D153" s="9">
        <f t="shared" si="14"/>
        <v>9</v>
      </c>
      <c r="E153" s="9" t="str">
        <f t="shared" si="15"/>
        <v>wrzesień</v>
      </c>
      <c r="F153" s="9" t="str">
        <f t="shared" si="16"/>
        <v>Q3</v>
      </c>
      <c r="G153" s="9" t="str">
        <f t="shared" si="17"/>
        <v>Autumn</v>
      </c>
      <c r="H153" s="10">
        <f>weather_data!E153-weather_data!D153</f>
        <v>-0.19999999999999929</v>
      </c>
      <c r="I153" s="9">
        <f>IF(OR(weather_data!H153="light rain",weather_data!H153="moderate rain",weather_data!H153="drizzle",weather_data!H153="thunderstorm"),1,0)</f>
        <v>0</v>
      </c>
      <c r="J153" s="9">
        <f>IF(weather_data!I153&gt;=25,1,0)</f>
        <v>0</v>
      </c>
    </row>
    <row r="154" spans="1:10" x14ac:dyDescent="0.25">
      <c r="A154" s="7">
        <f>weather_data!B154</f>
        <v>45912.805555555547</v>
      </c>
      <c r="B154" s="8">
        <f t="shared" si="12"/>
        <v>45912</v>
      </c>
      <c r="C154" s="9" t="str">
        <f t="shared" si="13"/>
        <v>yyyy-09</v>
      </c>
      <c r="D154" s="9">
        <f t="shared" si="14"/>
        <v>9</v>
      </c>
      <c r="E154" s="9" t="str">
        <f t="shared" si="15"/>
        <v>wrzesień</v>
      </c>
      <c r="F154" s="9" t="str">
        <f t="shared" si="16"/>
        <v>Q3</v>
      </c>
      <c r="G154" s="9" t="str">
        <f t="shared" si="17"/>
        <v>Autumn</v>
      </c>
      <c r="H154" s="10">
        <f>weather_data!E154-weather_data!D154</f>
        <v>1.6999999999999993</v>
      </c>
      <c r="I154" s="9">
        <f>IF(OR(weather_data!H154="light rain",weather_data!H154="moderate rain",weather_data!H154="drizzle",weather_data!H154="thunderstorm"),1,0)</f>
        <v>0</v>
      </c>
      <c r="J154" s="9">
        <f>IF(weather_data!I154&gt;=25,1,0)</f>
        <v>0</v>
      </c>
    </row>
    <row r="155" spans="1:10" x14ac:dyDescent="0.25">
      <c r="A155" s="7">
        <f>weather_data!B155</f>
        <v>45913.354166666657</v>
      </c>
      <c r="B155" s="8">
        <f t="shared" si="12"/>
        <v>45913</v>
      </c>
      <c r="C155" s="9" t="str">
        <f t="shared" si="13"/>
        <v>yyyy-09</v>
      </c>
      <c r="D155" s="9">
        <f t="shared" si="14"/>
        <v>9</v>
      </c>
      <c r="E155" s="9" t="str">
        <f t="shared" si="15"/>
        <v>wrzesień</v>
      </c>
      <c r="F155" s="9" t="str">
        <f t="shared" si="16"/>
        <v>Q3</v>
      </c>
      <c r="G155" s="9" t="str">
        <f t="shared" si="17"/>
        <v>Autumn</v>
      </c>
      <c r="H155" s="10">
        <f>weather_data!E155-weather_data!D155</f>
        <v>-0.30000000000000071</v>
      </c>
      <c r="I155" s="9">
        <f>IF(OR(weather_data!H155="light rain",weather_data!H155="moderate rain",weather_data!H155="drizzle",weather_data!H155="thunderstorm"),1,0)</f>
        <v>0</v>
      </c>
      <c r="J155" s="9">
        <f>IF(weather_data!I155&gt;=25,1,0)</f>
        <v>0</v>
      </c>
    </row>
    <row r="156" spans="1:10" x14ac:dyDescent="0.25">
      <c r="A156" s="7">
        <f>weather_data!B156</f>
        <v>45914.284722222219</v>
      </c>
      <c r="B156" s="8">
        <f t="shared" si="12"/>
        <v>45914</v>
      </c>
      <c r="C156" s="9" t="str">
        <f t="shared" si="13"/>
        <v>yyyy-09</v>
      </c>
      <c r="D156" s="9">
        <f t="shared" si="14"/>
        <v>9</v>
      </c>
      <c r="E156" s="9" t="str">
        <f t="shared" si="15"/>
        <v>wrzesień</v>
      </c>
      <c r="F156" s="9" t="str">
        <f t="shared" si="16"/>
        <v>Q3</v>
      </c>
      <c r="G156" s="9" t="str">
        <f t="shared" si="17"/>
        <v>Autumn</v>
      </c>
      <c r="H156" s="10">
        <f>weather_data!E156-weather_data!D156</f>
        <v>0.80000000000000071</v>
      </c>
      <c r="I156" s="9">
        <f>IF(OR(weather_data!H156="light rain",weather_data!H156="moderate rain",weather_data!H156="drizzle",weather_data!H156="thunderstorm"),1,0)</f>
        <v>1</v>
      </c>
      <c r="J156" s="9">
        <f>IF(weather_data!I156&gt;=25,1,0)</f>
        <v>1</v>
      </c>
    </row>
    <row r="157" spans="1:10" x14ac:dyDescent="0.25">
      <c r="A157" s="7">
        <f>weather_data!B157</f>
        <v>45915.305555555547</v>
      </c>
      <c r="B157" s="8">
        <f t="shared" si="12"/>
        <v>45915</v>
      </c>
      <c r="C157" s="9" t="str">
        <f t="shared" si="13"/>
        <v>yyyy-09</v>
      </c>
      <c r="D157" s="9">
        <f t="shared" si="14"/>
        <v>9</v>
      </c>
      <c r="E157" s="9" t="str">
        <f t="shared" si="15"/>
        <v>wrzesień</v>
      </c>
      <c r="F157" s="9" t="str">
        <f t="shared" si="16"/>
        <v>Q3</v>
      </c>
      <c r="G157" s="9" t="str">
        <f t="shared" si="17"/>
        <v>Autumn</v>
      </c>
      <c r="H157" s="10">
        <f>weather_data!E157-weather_data!D157</f>
        <v>-0.40000000000000213</v>
      </c>
      <c r="I157" s="9">
        <f>IF(OR(weather_data!H157="light rain",weather_data!H157="moderate rain",weather_data!H157="drizzle",weather_data!H157="thunderstorm"),1,0)</f>
        <v>0</v>
      </c>
      <c r="J157" s="9">
        <f>IF(weather_data!I157&gt;=25,1,0)</f>
        <v>0</v>
      </c>
    </row>
    <row r="158" spans="1:10" x14ac:dyDescent="0.25">
      <c r="A158" s="7">
        <f>weather_data!B158</f>
        <v>45917.576388888891</v>
      </c>
      <c r="B158" s="8">
        <f t="shared" si="12"/>
        <v>45917</v>
      </c>
      <c r="C158" s="9" t="str">
        <f t="shared" si="13"/>
        <v>yyyy-09</v>
      </c>
      <c r="D158" s="9">
        <f t="shared" si="14"/>
        <v>9</v>
      </c>
      <c r="E158" s="9" t="str">
        <f t="shared" si="15"/>
        <v>wrzesień</v>
      </c>
      <c r="F158" s="9" t="str">
        <f t="shared" si="16"/>
        <v>Q3</v>
      </c>
      <c r="G158" s="9" t="str">
        <f t="shared" si="17"/>
        <v>Autumn</v>
      </c>
      <c r="H158" s="10">
        <f>weather_data!E158-weather_data!D158</f>
        <v>1</v>
      </c>
      <c r="I158" s="9">
        <f>IF(OR(weather_data!H158="light rain",weather_data!H158="moderate rain",weather_data!H158="drizzle",weather_data!H158="thunderstorm"),1,0)</f>
        <v>0</v>
      </c>
      <c r="J158" s="9">
        <f>IF(weather_data!I158&gt;=25,1,0)</f>
        <v>0</v>
      </c>
    </row>
    <row r="159" spans="1:10" x14ac:dyDescent="0.25">
      <c r="A159" s="7">
        <f>weather_data!B159</f>
        <v>45918.368055555547</v>
      </c>
      <c r="B159" s="8">
        <f t="shared" si="12"/>
        <v>45918</v>
      </c>
      <c r="C159" s="9" t="str">
        <f t="shared" si="13"/>
        <v>yyyy-09</v>
      </c>
      <c r="D159" s="9">
        <f t="shared" si="14"/>
        <v>9</v>
      </c>
      <c r="E159" s="9" t="str">
        <f t="shared" si="15"/>
        <v>wrzesień</v>
      </c>
      <c r="F159" s="9" t="str">
        <f t="shared" si="16"/>
        <v>Q3</v>
      </c>
      <c r="G159" s="9" t="str">
        <f t="shared" si="17"/>
        <v>Autumn</v>
      </c>
      <c r="H159" s="10">
        <f>weather_data!E159-weather_data!D159</f>
        <v>-0.80000000000000071</v>
      </c>
      <c r="I159" s="9">
        <f>IF(OR(weather_data!H159="light rain",weather_data!H159="moderate rain",weather_data!H159="drizzle",weather_data!H159="thunderstorm"),1,0)</f>
        <v>0</v>
      </c>
      <c r="J159" s="9">
        <f>IF(weather_data!I159&gt;=25,1,0)</f>
        <v>0</v>
      </c>
    </row>
    <row r="160" spans="1:10" x14ac:dyDescent="0.25">
      <c r="A160" s="7">
        <f>weather_data!B160</f>
        <v>45919.291666666657</v>
      </c>
      <c r="B160" s="8">
        <f t="shared" si="12"/>
        <v>45919</v>
      </c>
      <c r="C160" s="9" t="str">
        <f t="shared" si="13"/>
        <v>yyyy-09</v>
      </c>
      <c r="D160" s="9">
        <f t="shared" si="14"/>
        <v>9</v>
      </c>
      <c r="E160" s="9" t="str">
        <f t="shared" si="15"/>
        <v>wrzesień</v>
      </c>
      <c r="F160" s="9" t="str">
        <f t="shared" si="16"/>
        <v>Q3</v>
      </c>
      <c r="G160" s="9" t="str">
        <f t="shared" si="17"/>
        <v>Autumn</v>
      </c>
      <c r="H160" s="10">
        <f>weather_data!E160-weather_data!D160</f>
        <v>0.60000000000000142</v>
      </c>
      <c r="I160" s="9">
        <f>IF(OR(weather_data!H160="light rain",weather_data!H160="moderate rain",weather_data!H160="drizzle",weather_data!H160="thunderstorm"),1,0)</f>
        <v>0</v>
      </c>
      <c r="J160" s="9">
        <f>IF(weather_data!I160&gt;=25,1,0)</f>
        <v>0</v>
      </c>
    </row>
    <row r="161" spans="1:10" x14ac:dyDescent="0.25">
      <c r="A161" s="7">
        <f>weather_data!B161</f>
        <v>45920.548611111109</v>
      </c>
      <c r="B161" s="8">
        <f t="shared" si="12"/>
        <v>45920</v>
      </c>
      <c r="C161" s="9" t="str">
        <f t="shared" si="13"/>
        <v>yyyy-09</v>
      </c>
      <c r="D161" s="9">
        <f t="shared" si="14"/>
        <v>9</v>
      </c>
      <c r="E161" s="9" t="str">
        <f t="shared" si="15"/>
        <v>wrzesień</v>
      </c>
      <c r="F161" s="9" t="str">
        <f t="shared" si="16"/>
        <v>Q3</v>
      </c>
      <c r="G161" s="9" t="str">
        <f t="shared" si="17"/>
        <v>Autumn</v>
      </c>
      <c r="H161" s="10">
        <f>weather_data!E161-weather_data!D161</f>
        <v>0.30000000000000071</v>
      </c>
      <c r="I161" s="9">
        <f>IF(OR(weather_data!H161="light rain",weather_data!H161="moderate rain",weather_data!H161="drizzle",weather_data!H161="thunderstorm"),1,0)</f>
        <v>0</v>
      </c>
      <c r="J161" s="9">
        <f>IF(weather_data!I161&gt;=25,1,0)</f>
        <v>0</v>
      </c>
    </row>
    <row r="162" spans="1:10" x14ac:dyDescent="0.25">
      <c r="A162" s="7">
        <f>weather_data!B162</f>
        <v>45921.277777777781</v>
      </c>
      <c r="B162" s="8">
        <f t="shared" si="12"/>
        <v>45921</v>
      </c>
      <c r="C162" s="9" t="str">
        <f t="shared" si="13"/>
        <v>yyyy-09</v>
      </c>
      <c r="D162" s="9">
        <f t="shared" si="14"/>
        <v>9</v>
      </c>
      <c r="E162" s="9" t="str">
        <f t="shared" si="15"/>
        <v>wrzesień</v>
      </c>
      <c r="F162" s="9" t="str">
        <f t="shared" si="16"/>
        <v>Q3</v>
      </c>
      <c r="G162" s="9" t="str">
        <f t="shared" si="17"/>
        <v>Autumn</v>
      </c>
      <c r="H162" s="10">
        <f>weather_data!E162-weather_data!D162</f>
        <v>-0.40000000000000213</v>
      </c>
      <c r="I162" s="9">
        <f>IF(OR(weather_data!H162="light rain",weather_data!H162="moderate rain",weather_data!H162="drizzle",weather_data!H162="thunderstorm"),1,0)</f>
        <v>0</v>
      </c>
      <c r="J162" s="9">
        <f>IF(weather_data!I162&gt;=25,1,0)</f>
        <v>0</v>
      </c>
    </row>
    <row r="163" spans="1:10" x14ac:dyDescent="0.25">
      <c r="A163" s="7">
        <f>weather_data!B163</f>
        <v>45922.423611111109</v>
      </c>
      <c r="B163" s="8">
        <f t="shared" si="12"/>
        <v>45922</v>
      </c>
      <c r="C163" s="9" t="str">
        <f t="shared" si="13"/>
        <v>yyyy-09</v>
      </c>
      <c r="D163" s="9">
        <f t="shared" si="14"/>
        <v>9</v>
      </c>
      <c r="E163" s="9" t="str">
        <f t="shared" si="15"/>
        <v>wrzesień</v>
      </c>
      <c r="F163" s="9" t="str">
        <f t="shared" si="16"/>
        <v>Q3</v>
      </c>
      <c r="G163" s="9" t="str">
        <f t="shared" si="17"/>
        <v>Autumn</v>
      </c>
      <c r="H163" s="10">
        <f>weather_data!E163-weather_data!D163</f>
        <v>-1.0999999999999979</v>
      </c>
      <c r="I163" s="9">
        <f>IF(OR(weather_data!H163="light rain",weather_data!H163="moderate rain",weather_data!H163="drizzle",weather_data!H163="thunderstorm"),1,0)</f>
        <v>0</v>
      </c>
      <c r="J163" s="9">
        <f>IF(weather_data!I163&gt;=25,1,0)</f>
        <v>0</v>
      </c>
    </row>
    <row r="164" spans="1:10" x14ac:dyDescent="0.25">
      <c r="A164" s="7">
        <f>weather_data!B164</f>
        <v>45923.4375</v>
      </c>
      <c r="B164" s="8">
        <f t="shared" si="12"/>
        <v>45923</v>
      </c>
      <c r="C164" s="9" t="str">
        <f t="shared" si="13"/>
        <v>yyyy-09</v>
      </c>
      <c r="D164" s="9">
        <f t="shared" si="14"/>
        <v>9</v>
      </c>
      <c r="E164" s="9" t="str">
        <f t="shared" si="15"/>
        <v>wrzesień</v>
      </c>
      <c r="F164" s="9" t="str">
        <f t="shared" si="16"/>
        <v>Q3</v>
      </c>
      <c r="G164" s="9" t="str">
        <f t="shared" si="17"/>
        <v>Autumn</v>
      </c>
      <c r="H164" s="10">
        <f>weather_data!E164-weather_data!D164</f>
        <v>0.19999999999999929</v>
      </c>
      <c r="I164" s="9">
        <f>IF(OR(weather_data!H164="light rain",weather_data!H164="moderate rain",weather_data!H164="drizzle",weather_data!H164="thunderstorm"),1,0)</f>
        <v>0</v>
      </c>
      <c r="J164" s="9">
        <f>IF(weather_data!I164&gt;=25,1,0)</f>
        <v>0</v>
      </c>
    </row>
    <row r="165" spans="1:10" x14ac:dyDescent="0.25">
      <c r="A165" s="7">
        <f>weather_data!B165</f>
        <v>45924.402777777781</v>
      </c>
      <c r="B165" s="8">
        <f t="shared" si="12"/>
        <v>45924</v>
      </c>
      <c r="C165" s="9" t="str">
        <f t="shared" si="13"/>
        <v>yyyy-09</v>
      </c>
      <c r="D165" s="9">
        <f t="shared" si="14"/>
        <v>9</v>
      </c>
      <c r="E165" s="9" t="str">
        <f t="shared" si="15"/>
        <v>wrzesień</v>
      </c>
      <c r="F165" s="9" t="str">
        <f t="shared" si="16"/>
        <v>Q3</v>
      </c>
      <c r="G165" s="9" t="str">
        <f t="shared" si="17"/>
        <v>Autumn</v>
      </c>
      <c r="H165" s="10">
        <f>weather_data!E165-weather_data!D165</f>
        <v>-0.39999999999999858</v>
      </c>
      <c r="I165" s="9">
        <f>IF(OR(weather_data!H165="light rain",weather_data!H165="moderate rain",weather_data!H165="drizzle",weather_data!H165="thunderstorm"),1,0)</f>
        <v>0</v>
      </c>
      <c r="J165" s="9">
        <f>IF(weather_data!I165&gt;=25,1,0)</f>
        <v>0</v>
      </c>
    </row>
    <row r="166" spans="1:10" x14ac:dyDescent="0.25">
      <c r="A166" s="7">
        <f>weather_data!B166</f>
        <v>45925.520833333343</v>
      </c>
      <c r="B166" s="8">
        <f t="shared" si="12"/>
        <v>45925</v>
      </c>
      <c r="C166" s="9" t="str">
        <f t="shared" si="13"/>
        <v>yyyy-09</v>
      </c>
      <c r="D166" s="9">
        <f t="shared" si="14"/>
        <v>9</v>
      </c>
      <c r="E166" s="9" t="str">
        <f t="shared" si="15"/>
        <v>wrzesień</v>
      </c>
      <c r="F166" s="9" t="str">
        <f t="shared" si="16"/>
        <v>Q3</v>
      </c>
      <c r="G166" s="9" t="str">
        <f t="shared" si="17"/>
        <v>Autumn</v>
      </c>
      <c r="H166" s="10">
        <f>weather_data!E166-weather_data!D166</f>
        <v>0</v>
      </c>
      <c r="I166" s="9">
        <f>IF(OR(weather_data!H166="light rain",weather_data!H166="moderate rain",weather_data!H166="drizzle",weather_data!H166="thunderstorm"),1,0)</f>
        <v>0</v>
      </c>
      <c r="J166" s="9">
        <f>IF(weather_data!I166&gt;=25,1,0)</f>
        <v>0</v>
      </c>
    </row>
    <row r="167" spans="1:10" x14ac:dyDescent="0.25">
      <c r="A167" s="7">
        <f>weather_data!B167</f>
        <v>45926.597222222219</v>
      </c>
      <c r="B167" s="8">
        <f t="shared" si="12"/>
        <v>45926</v>
      </c>
      <c r="C167" s="9" t="str">
        <f t="shared" si="13"/>
        <v>yyyy-09</v>
      </c>
      <c r="D167" s="9">
        <f t="shared" si="14"/>
        <v>9</v>
      </c>
      <c r="E167" s="9" t="str">
        <f t="shared" si="15"/>
        <v>wrzesień</v>
      </c>
      <c r="F167" s="9" t="str">
        <f t="shared" si="16"/>
        <v>Q3</v>
      </c>
      <c r="G167" s="9" t="str">
        <f t="shared" si="17"/>
        <v>Autumn</v>
      </c>
      <c r="H167" s="10">
        <f>weather_data!E167-weather_data!D167</f>
        <v>-0.80000000000000071</v>
      </c>
      <c r="I167" s="9">
        <f>IF(OR(weather_data!H167="light rain",weather_data!H167="moderate rain",weather_data!H167="drizzle",weather_data!H167="thunderstorm"),1,0)</f>
        <v>0</v>
      </c>
      <c r="J167" s="9">
        <f>IF(weather_data!I167&gt;=25,1,0)</f>
        <v>0</v>
      </c>
    </row>
    <row r="168" spans="1:10" x14ac:dyDescent="0.25">
      <c r="A168" s="7">
        <f>weather_data!B168</f>
        <v>45927.486111111109</v>
      </c>
      <c r="B168" s="8">
        <f t="shared" si="12"/>
        <v>45927</v>
      </c>
      <c r="C168" s="9" t="str">
        <f t="shared" si="13"/>
        <v>yyyy-09</v>
      </c>
      <c r="D168" s="9">
        <f t="shared" si="14"/>
        <v>9</v>
      </c>
      <c r="E168" s="9" t="str">
        <f t="shared" si="15"/>
        <v>wrzesień</v>
      </c>
      <c r="F168" s="9" t="str">
        <f t="shared" si="16"/>
        <v>Q3</v>
      </c>
      <c r="G168" s="9" t="str">
        <f t="shared" si="17"/>
        <v>Autumn</v>
      </c>
      <c r="H168" s="10">
        <f>weather_data!E168-weather_data!D168</f>
        <v>0.59999999999999787</v>
      </c>
      <c r="I168" s="9">
        <f>IF(OR(weather_data!H168="light rain",weather_data!H168="moderate rain",weather_data!H168="drizzle",weather_data!H168="thunderstorm"),1,0)</f>
        <v>0</v>
      </c>
      <c r="J168" s="9">
        <f>IF(weather_data!I168&gt;=25,1,0)</f>
        <v>0</v>
      </c>
    </row>
    <row r="169" spans="1:10" x14ac:dyDescent="0.25">
      <c r="A169" s="7">
        <f>weather_data!B169</f>
        <v>45928.381944444453</v>
      </c>
      <c r="B169" s="8">
        <f t="shared" si="12"/>
        <v>45928</v>
      </c>
      <c r="C169" s="9" t="str">
        <f t="shared" si="13"/>
        <v>yyyy-09</v>
      </c>
      <c r="D169" s="9">
        <f t="shared" si="14"/>
        <v>9</v>
      </c>
      <c r="E169" s="9" t="str">
        <f t="shared" si="15"/>
        <v>wrzesień</v>
      </c>
      <c r="F169" s="9" t="str">
        <f t="shared" si="16"/>
        <v>Q3</v>
      </c>
      <c r="G169" s="9" t="str">
        <f t="shared" si="17"/>
        <v>Autumn</v>
      </c>
      <c r="H169" s="10">
        <f>weather_data!E169-weather_data!D169</f>
        <v>0.5</v>
      </c>
      <c r="I169" s="9">
        <f>IF(OR(weather_data!H169="light rain",weather_data!H169="moderate rain",weather_data!H169="drizzle",weather_data!H169="thunderstorm"),1,0)</f>
        <v>0</v>
      </c>
      <c r="J169" s="9">
        <f>IF(weather_data!I169&gt;=25,1,0)</f>
        <v>0</v>
      </c>
    </row>
    <row r="170" spans="1:10" x14ac:dyDescent="0.25">
      <c r="A170" s="7">
        <f>weather_data!B170</f>
        <v>45929.625</v>
      </c>
      <c r="B170" s="8">
        <f t="shared" si="12"/>
        <v>45929</v>
      </c>
      <c r="C170" s="9" t="str">
        <f t="shared" si="13"/>
        <v>yyyy-09</v>
      </c>
      <c r="D170" s="9">
        <f t="shared" si="14"/>
        <v>9</v>
      </c>
      <c r="E170" s="9" t="str">
        <f t="shared" si="15"/>
        <v>wrzesień</v>
      </c>
      <c r="F170" s="9" t="str">
        <f t="shared" si="16"/>
        <v>Q3</v>
      </c>
      <c r="G170" s="9" t="str">
        <f t="shared" si="17"/>
        <v>Autumn</v>
      </c>
      <c r="H170" s="10">
        <f>weather_data!E170-weather_data!D170</f>
        <v>1.0999999999999979</v>
      </c>
      <c r="I170" s="9">
        <f>IF(OR(weather_data!H170="light rain",weather_data!H170="moderate rain",weather_data!H170="drizzle",weather_data!H170="thunderstorm"),1,0)</f>
        <v>0</v>
      </c>
      <c r="J170" s="9">
        <f>IF(weather_data!I170&gt;=25,1,0)</f>
        <v>0</v>
      </c>
    </row>
    <row r="171" spans="1:10" x14ac:dyDescent="0.25">
      <c r="A171" s="7">
        <f>weather_data!B171</f>
        <v>45930.263888888891</v>
      </c>
      <c r="B171" s="8">
        <f t="shared" si="12"/>
        <v>45930</v>
      </c>
      <c r="C171" s="9" t="str">
        <f t="shared" si="13"/>
        <v>yyyy-09</v>
      </c>
      <c r="D171" s="9">
        <f t="shared" si="14"/>
        <v>9</v>
      </c>
      <c r="E171" s="9" t="str">
        <f t="shared" si="15"/>
        <v>wrzesień</v>
      </c>
      <c r="F171" s="9" t="str">
        <f t="shared" si="16"/>
        <v>Q3</v>
      </c>
      <c r="G171" s="9" t="str">
        <f t="shared" si="17"/>
        <v>Autumn</v>
      </c>
      <c r="H171" s="10">
        <f>weather_data!E171-weather_data!D171</f>
        <v>-0.30000000000000071</v>
      </c>
      <c r="I171" s="9">
        <f>IF(OR(weather_data!H171="light rain",weather_data!H171="moderate rain",weather_data!H171="drizzle",weather_data!H171="thunderstorm"),1,0)</f>
        <v>0</v>
      </c>
      <c r="J171" s="9">
        <f>IF(weather_data!I171&gt;=25,1,0)</f>
        <v>1</v>
      </c>
    </row>
    <row r="172" spans="1:10" x14ac:dyDescent="0.25">
      <c r="A172" s="7">
        <f>weather_data!B172</f>
        <v>45931.770833333343</v>
      </c>
      <c r="B172" s="8">
        <f t="shared" si="12"/>
        <v>45931</v>
      </c>
      <c r="C172" s="9" t="str">
        <f t="shared" si="13"/>
        <v>yyyy-10</v>
      </c>
      <c r="D172" s="9">
        <f t="shared" si="14"/>
        <v>10</v>
      </c>
      <c r="E172" s="9" t="str">
        <f t="shared" si="15"/>
        <v>październik</v>
      </c>
      <c r="F172" s="9" t="str">
        <f t="shared" si="16"/>
        <v>Q4</v>
      </c>
      <c r="G172" s="9" t="str">
        <f t="shared" si="17"/>
        <v>Autumn</v>
      </c>
      <c r="H172" s="10">
        <f>weather_data!E172-weather_data!D172</f>
        <v>0.39999999999999858</v>
      </c>
      <c r="I172" s="9">
        <f>IF(OR(weather_data!H172="light rain",weather_data!H172="moderate rain",weather_data!H172="drizzle",weather_data!H172="thunderstorm"),1,0)</f>
        <v>0</v>
      </c>
      <c r="J172" s="9">
        <f>IF(weather_data!I172&gt;=25,1,0)</f>
        <v>0</v>
      </c>
    </row>
    <row r="173" spans="1:10" x14ac:dyDescent="0.25">
      <c r="A173" s="7">
        <f>weather_data!B173</f>
        <v>45932.5</v>
      </c>
      <c r="B173" s="8">
        <f t="shared" si="12"/>
        <v>45932</v>
      </c>
      <c r="C173" s="9" t="str">
        <f t="shared" si="13"/>
        <v>yyyy-10</v>
      </c>
      <c r="D173" s="9">
        <f t="shared" si="14"/>
        <v>10</v>
      </c>
      <c r="E173" s="9" t="str">
        <f t="shared" si="15"/>
        <v>październik</v>
      </c>
      <c r="F173" s="9" t="str">
        <f t="shared" si="16"/>
        <v>Q4</v>
      </c>
      <c r="G173" s="9" t="str">
        <f t="shared" si="17"/>
        <v>Autumn</v>
      </c>
      <c r="H173" s="10">
        <f>weather_data!E173-weather_data!D173</f>
        <v>-0.69999999999999929</v>
      </c>
      <c r="I173" s="9">
        <f>IF(OR(weather_data!H173="light rain",weather_data!H173="moderate rain",weather_data!H173="drizzle",weather_data!H173="thunderstorm"),1,0)</f>
        <v>0</v>
      </c>
      <c r="J173" s="9">
        <f>IF(weather_data!I173&gt;=25,1,0)</f>
        <v>0</v>
      </c>
    </row>
    <row r="174" spans="1:10" x14ac:dyDescent="0.25">
      <c r="A174" s="7">
        <f>weather_data!B174</f>
        <v>45933.541666666657</v>
      </c>
      <c r="B174" s="8">
        <f t="shared" si="12"/>
        <v>45933</v>
      </c>
      <c r="C174" s="9" t="str">
        <f t="shared" si="13"/>
        <v>yyyy-10</v>
      </c>
      <c r="D174" s="9">
        <f t="shared" si="14"/>
        <v>10</v>
      </c>
      <c r="E174" s="9" t="str">
        <f t="shared" si="15"/>
        <v>październik</v>
      </c>
      <c r="F174" s="9" t="str">
        <f t="shared" si="16"/>
        <v>Q4</v>
      </c>
      <c r="G174" s="9" t="str">
        <f t="shared" si="17"/>
        <v>Autumn</v>
      </c>
      <c r="H174" s="10">
        <f>weather_data!E174-weather_data!D174</f>
        <v>0.80000000000000071</v>
      </c>
      <c r="I174" s="9">
        <f>IF(OR(weather_data!H174="light rain",weather_data!H174="moderate rain",weather_data!H174="drizzle",weather_data!H174="thunderstorm"),1,0)</f>
        <v>1</v>
      </c>
      <c r="J174" s="9">
        <f>IF(weather_data!I174&gt;=25,1,0)</f>
        <v>0</v>
      </c>
    </row>
    <row r="175" spans="1:10" x14ac:dyDescent="0.25">
      <c r="A175" s="7">
        <f>weather_data!B175</f>
        <v>45934.659722222219</v>
      </c>
      <c r="B175" s="8">
        <f t="shared" si="12"/>
        <v>45934</v>
      </c>
      <c r="C175" s="9" t="str">
        <f t="shared" si="13"/>
        <v>yyyy-10</v>
      </c>
      <c r="D175" s="9">
        <f t="shared" si="14"/>
        <v>10</v>
      </c>
      <c r="E175" s="9" t="str">
        <f t="shared" si="15"/>
        <v>październik</v>
      </c>
      <c r="F175" s="9" t="str">
        <f t="shared" si="16"/>
        <v>Q4</v>
      </c>
      <c r="G175" s="9" t="str">
        <f t="shared" si="17"/>
        <v>Autumn</v>
      </c>
      <c r="H175" s="10">
        <f>weather_data!E175-weather_data!D175</f>
        <v>0.69999999999999929</v>
      </c>
      <c r="I175" s="9">
        <f>IF(OR(weather_data!H175="light rain",weather_data!H175="moderate rain",weather_data!H175="drizzle",weather_data!H175="thunderstorm"),1,0)</f>
        <v>1</v>
      </c>
      <c r="J175" s="9">
        <f>IF(weather_data!I175&gt;=25,1,0)</f>
        <v>1</v>
      </c>
    </row>
    <row r="176" spans="1:10" x14ac:dyDescent="0.25">
      <c r="A176" s="7">
        <f>weather_data!B176</f>
        <v>45935.402777777781</v>
      </c>
      <c r="B176" s="8">
        <f t="shared" si="12"/>
        <v>45935</v>
      </c>
      <c r="C176" s="9" t="str">
        <f t="shared" si="13"/>
        <v>yyyy-10</v>
      </c>
      <c r="D176" s="9">
        <f t="shared" si="14"/>
        <v>10</v>
      </c>
      <c r="E176" s="9" t="str">
        <f t="shared" si="15"/>
        <v>październik</v>
      </c>
      <c r="F176" s="9" t="str">
        <f t="shared" si="16"/>
        <v>Q4</v>
      </c>
      <c r="G176" s="9" t="str">
        <f t="shared" si="17"/>
        <v>Autumn</v>
      </c>
      <c r="H176" s="10">
        <f>weather_data!E176-weather_data!D176</f>
        <v>-0.70000000000000284</v>
      </c>
      <c r="I176" s="9">
        <f>IF(OR(weather_data!H176="light rain",weather_data!H176="moderate rain",weather_data!H176="drizzle",weather_data!H176="thunderstorm"),1,0)</f>
        <v>1</v>
      </c>
      <c r="J176" s="9">
        <f>IF(weather_data!I176&gt;=25,1,0)</f>
        <v>0</v>
      </c>
    </row>
    <row r="177" spans="1:10" x14ac:dyDescent="0.25">
      <c r="A177" s="7">
        <f>weather_data!B177</f>
        <v>45936.305555555547</v>
      </c>
      <c r="B177" s="8">
        <f t="shared" si="12"/>
        <v>45936</v>
      </c>
      <c r="C177" s="9" t="str">
        <f t="shared" si="13"/>
        <v>yyyy-10</v>
      </c>
      <c r="D177" s="9">
        <f t="shared" si="14"/>
        <v>10</v>
      </c>
      <c r="E177" s="9" t="str">
        <f t="shared" si="15"/>
        <v>październik</v>
      </c>
      <c r="F177" s="9" t="str">
        <f t="shared" si="16"/>
        <v>Q4</v>
      </c>
      <c r="G177" s="9" t="str">
        <f t="shared" si="17"/>
        <v>Autumn</v>
      </c>
      <c r="H177" s="10">
        <f>weather_data!E177-weather_data!D177</f>
        <v>0.10000000000000142</v>
      </c>
      <c r="I177" s="9">
        <f>IF(OR(weather_data!H177="light rain",weather_data!H177="moderate rain",weather_data!H177="drizzle",weather_data!H177="thunderstorm"),1,0)</f>
        <v>1</v>
      </c>
      <c r="J177" s="9">
        <f>IF(weather_data!I177&gt;=25,1,0)</f>
        <v>0</v>
      </c>
    </row>
    <row r="178" spans="1:10" x14ac:dyDescent="0.25">
      <c r="A178" s="7">
        <f>weather_data!B178</f>
        <v>45937.826388888891</v>
      </c>
      <c r="B178" s="8">
        <f t="shared" si="12"/>
        <v>45937</v>
      </c>
      <c r="C178" s="9" t="str">
        <f t="shared" si="13"/>
        <v>yyyy-10</v>
      </c>
      <c r="D178" s="9">
        <f t="shared" si="14"/>
        <v>10</v>
      </c>
      <c r="E178" s="9" t="str">
        <f t="shared" si="15"/>
        <v>październik</v>
      </c>
      <c r="F178" s="9" t="str">
        <f t="shared" si="16"/>
        <v>Q4</v>
      </c>
      <c r="G178" s="9" t="str">
        <f t="shared" si="17"/>
        <v>Autumn</v>
      </c>
      <c r="H178" s="10">
        <f>weather_data!E178-weather_data!D178</f>
        <v>0.39999999999999858</v>
      </c>
      <c r="I178" s="9">
        <f>IF(OR(weather_data!H178="light rain",weather_data!H178="moderate rain",weather_data!H178="drizzle",weather_data!H178="thunderstorm"),1,0)</f>
        <v>0</v>
      </c>
      <c r="J178" s="9">
        <f>IF(weather_data!I178&gt;=25,1,0)</f>
        <v>0</v>
      </c>
    </row>
    <row r="179" spans="1:10" x14ac:dyDescent="0.25">
      <c r="A179" s="7">
        <f>weather_data!B179</f>
        <v>45938.708333333343</v>
      </c>
      <c r="B179" s="8">
        <f t="shared" si="12"/>
        <v>45938</v>
      </c>
      <c r="C179" s="9" t="str">
        <f t="shared" si="13"/>
        <v>yyyy-10</v>
      </c>
      <c r="D179" s="9">
        <f t="shared" si="14"/>
        <v>10</v>
      </c>
      <c r="E179" s="9" t="str">
        <f t="shared" si="15"/>
        <v>październik</v>
      </c>
      <c r="F179" s="9" t="str">
        <f t="shared" si="16"/>
        <v>Q4</v>
      </c>
      <c r="G179" s="9" t="str">
        <f t="shared" si="17"/>
        <v>Autumn</v>
      </c>
      <c r="H179" s="10">
        <f>weather_data!E179-weather_data!D179</f>
        <v>-0.5</v>
      </c>
      <c r="I179" s="9">
        <f>IF(OR(weather_data!H179="light rain",weather_data!H179="moderate rain",weather_data!H179="drizzle",weather_data!H179="thunderstorm"),1,0)</f>
        <v>0</v>
      </c>
      <c r="J179" s="9">
        <f>IF(weather_data!I179&gt;=25,1,0)</f>
        <v>0</v>
      </c>
    </row>
    <row r="180" spans="1:10" x14ac:dyDescent="0.25">
      <c r="A180" s="7">
        <f>weather_data!B180</f>
        <v>45939.666666666657</v>
      </c>
      <c r="B180" s="8">
        <f t="shared" si="12"/>
        <v>45939</v>
      </c>
      <c r="C180" s="9" t="str">
        <f t="shared" si="13"/>
        <v>yyyy-10</v>
      </c>
      <c r="D180" s="9">
        <f t="shared" si="14"/>
        <v>10</v>
      </c>
      <c r="E180" s="9" t="str">
        <f t="shared" si="15"/>
        <v>październik</v>
      </c>
      <c r="F180" s="9" t="str">
        <f t="shared" si="16"/>
        <v>Q4</v>
      </c>
      <c r="G180" s="9" t="str">
        <f t="shared" si="17"/>
        <v>Autumn</v>
      </c>
      <c r="H180" s="10">
        <f>weather_data!E180-weather_data!D180</f>
        <v>-0.30000000000000071</v>
      </c>
      <c r="I180" s="9">
        <f>IF(OR(weather_data!H180="light rain",weather_data!H180="moderate rain",weather_data!H180="drizzle",weather_data!H180="thunderstorm"),1,0)</f>
        <v>1</v>
      </c>
      <c r="J180" s="9">
        <f>IF(weather_data!I180&gt;=25,1,0)</f>
        <v>1</v>
      </c>
    </row>
    <row r="181" spans="1:10" x14ac:dyDescent="0.25">
      <c r="A181" s="7">
        <f>weather_data!B181</f>
        <v>45940.8125</v>
      </c>
      <c r="B181" s="8">
        <f t="shared" si="12"/>
        <v>45940</v>
      </c>
      <c r="C181" s="9" t="str">
        <f t="shared" si="13"/>
        <v>yyyy-10</v>
      </c>
      <c r="D181" s="9">
        <f t="shared" si="14"/>
        <v>10</v>
      </c>
      <c r="E181" s="9" t="str">
        <f t="shared" si="15"/>
        <v>październik</v>
      </c>
      <c r="F181" s="9" t="str">
        <f t="shared" si="16"/>
        <v>Q4</v>
      </c>
      <c r="G181" s="9" t="str">
        <f t="shared" si="17"/>
        <v>Autumn</v>
      </c>
      <c r="H181" s="10">
        <f>weather_data!E181-weather_data!D181</f>
        <v>-1</v>
      </c>
      <c r="I181" s="9">
        <f>IF(OR(weather_data!H181="light rain",weather_data!H181="moderate rain",weather_data!H181="drizzle",weather_data!H181="thunderstorm"),1,0)</f>
        <v>0</v>
      </c>
      <c r="J181" s="9">
        <f>IF(weather_data!I181&gt;=25,1,0)</f>
        <v>0</v>
      </c>
    </row>
    <row r="182" spans="1:10" x14ac:dyDescent="0.25">
      <c r="A182" s="7">
        <f>weather_data!B182</f>
        <v>45941.395833333343</v>
      </c>
      <c r="B182" s="8">
        <f t="shared" si="12"/>
        <v>45941</v>
      </c>
      <c r="C182" s="9" t="str">
        <f t="shared" si="13"/>
        <v>yyyy-10</v>
      </c>
      <c r="D182" s="9">
        <f t="shared" si="14"/>
        <v>10</v>
      </c>
      <c r="E182" s="9" t="str">
        <f t="shared" si="15"/>
        <v>październik</v>
      </c>
      <c r="F182" s="9" t="str">
        <f t="shared" si="16"/>
        <v>Q4</v>
      </c>
      <c r="G182" s="9" t="str">
        <f t="shared" si="17"/>
        <v>Autumn</v>
      </c>
      <c r="H182" s="10">
        <f>weather_data!E182-weather_data!D182</f>
        <v>0.60000000000000142</v>
      </c>
      <c r="I182" s="9">
        <f>IF(OR(weather_data!H182="light rain",weather_data!H182="moderate rain",weather_data!H182="drizzle",weather_data!H182="thunderstorm"),1,0)</f>
        <v>0</v>
      </c>
      <c r="J182" s="9">
        <f>IF(weather_data!I182&gt;=25,1,0)</f>
        <v>0</v>
      </c>
    </row>
    <row r="183" spans="1:10" x14ac:dyDescent="0.25">
      <c r="A183" s="7">
        <f>weather_data!B183</f>
        <v>45942.743055555547</v>
      </c>
      <c r="B183" s="8">
        <f t="shared" si="12"/>
        <v>45942</v>
      </c>
      <c r="C183" s="9" t="str">
        <f t="shared" si="13"/>
        <v>yyyy-10</v>
      </c>
      <c r="D183" s="9">
        <f t="shared" si="14"/>
        <v>10</v>
      </c>
      <c r="E183" s="9" t="str">
        <f t="shared" si="15"/>
        <v>październik</v>
      </c>
      <c r="F183" s="9" t="str">
        <f t="shared" si="16"/>
        <v>Q4</v>
      </c>
      <c r="G183" s="9" t="str">
        <f t="shared" si="17"/>
        <v>Autumn</v>
      </c>
      <c r="H183" s="10">
        <f>weather_data!E183-weather_data!D183</f>
        <v>-0.80000000000000071</v>
      </c>
      <c r="I183" s="9">
        <f>IF(OR(weather_data!H183="light rain",weather_data!H183="moderate rain",weather_data!H183="drizzle",weather_data!H183="thunderstorm"),1,0)</f>
        <v>0</v>
      </c>
      <c r="J183" s="9">
        <f>IF(weather_data!I183&gt;=25,1,0)</f>
        <v>0</v>
      </c>
    </row>
    <row r="184" spans="1:10" x14ac:dyDescent="0.25">
      <c r="A184" s="7">
        <f>weather_data!B184</f>
        <v>45943.868055555547</v>
      </c>
      <c r="B184" s="8">
        <f t="shared" si="12"/>
        <v>45943</v>
      </c>
      <c r="C184" s="9" t="str">
        <f t="shared" si="13"/>
        <v>yyyy-10</v>
      </c>
      <c r="D184" s="9">
        <f t="shared" si="14"/>
        <v>10</v>
      </c>
      <c r="E184" s="9" t="str">
        <f t="shared" si="15"/>
        <v>październik</v>
      </c>
      <c r="F184" s="9" t="str">
        <f t="shared" si="16"/>
        <v>Q4</v>
      </c>
      <c r="G184" s="9" t="str">
        <f t="shared" si="17"/>
        <v>Autumn</v>
      </c>
      <c r="H184" s="10">
        <f>weather_data!E184-weather_data!D184</f>
        <v>-0.10000000000000142</v>
      </c>
      <c r="I184" s="9">
        <f>IF(OR(weather_data!H184="light rain",weather_data!H184="moderate rain",weather_data!H184="drizzle",weather_data!H184="thunderstorm"),1,0)</f>
        <v>1</v>
      </c>
      <c r="J184" s="9">
        <f>IF(weather_data!I184&gt;=25,1,0)</f>
        <v>0</v>
      </c>
    </row>
    <row r="185" spans="1:10" x14ac:dyDescent="0.25">
      <c r="A185" s="7">
        <f>weather_data!B185</f>
        <v>45944.4375</v>
      </c>
      <c r="B185" s="8">
        <f t="shared" si="12"/>
        <v>45944</v>
      </c>
      <c r="C185" s="9" t="str">
        <f t="shared" si="13"/>
        <v>yyyy-10</v>
      </c>
      <c r="D185" s="9">
        <f t="shared" si="14"/>
        <v>10</v>
      </c>
      <c r="E185" s="9" t="str">
        <f t="shared" si="15"/>
        <v>październik</v>
      </c>
      <c r="F185" s="9" t="str">
        <f t="shared" si="16"/>
        <v>Q4</v>
      </c>
      <c r="G185" s="9" t="str">
        <f t="shared" si="17"/>
        <v>Autumn</v>
      </c>
      <c r="H185" s="10">
        <f>weather_data!E185-weather_data!D185</f>
        <v>-0.60000000000000142</v>
      </c>
      <c r="I185" s="9">
        <f>IF(OR(weather_data!H185="light rain",weather_data!H185="moderate rain",weather_data!H185="drizzle",weather_data!H185="thunderstorm"),1,0)</f>
        <v>0</v>
      </c>
      <c r="J185" s="9">
        <f>IF(weather_data!I185&gt;=25,1,0)</f>
        <v>0</v>
      </c>
    </row>
    <row r="186" spans="1:10" x14ac:dyDescent="0.25">
      <c r="A186" s="7">
        <f>weather_data!B186</f>
        <v>45946.493055555547</v>
      </c>
      <c r="B186" s="8">
        <f t="shared" si="12"/>
        <v>45946</v>
      </c>
      <c r="C186" s="9" t="str">
        <f t="shared" si="13"/>
        <v>yyyy-10</v>
      </c>
      <c r="D186" s="9">
        <f t="shared" si="14"/>
        <v>10</v>
      </c>
      <c r="E186" s="9" t="str">
        <f t="shared" si="15"/>
        <v>październik</v>
      </c>
      <c r="F186" s="9" t="str">
        <f t="shared" si="16"/>
        <v>Q4</v>
      </c>
      <c r="G186" s="9" t="str">
        <f t="shared" si="17"/>
        <v>Autumn</v>
      </c>
      <c r="H186" s="10">
        <f>weather_data!E186-weather_data!D186</f>
        <v>0.39999999999999858</v>
      </c>
      <c r="I186" s="9">
        <f>IF(OR(weather_data!H186="light rain",weather_data!H186="moderate rain",weather_data!H186="drizzle",weather_data!H186="thunderstorm"),1,0)</f>
        <v>0</v>
      </c>
      <c r="J186" s="9">
        <f>IF(weather_data!I186&gt;=25,1,0)</f>
        <v>0</v>
      </c>
    </row>
    <row r="187" spans="1:10" x14ac:dyDescent="0.25">
      <c r="A187" s="7">
        <f>weather_data!B187</f>
        <v>45947.611111111109</v>
      </c>
      <c r="B187" s="8">
        <f t="shared" si="12"/>
        <v>45947</v>
      </c>
      <c r="C187" s="9" t="str">
        <f t="shared" si="13"/>
        <v>yyyy-10</v>
      </c>
      <c r="D187" s="9">
        <f t="shared" si="14"/>
        <v>10</v>
      </c>
      <c r="E187" s="9" t="str">
        <f t="shared" si="15"/>
        <v>październik</v>
      </c>
      <c r="F187" s="9" t="str">
        <f t="shared" si="16"/>
        <v>Q4</v>
      </c>
      <c r="G187" s="9" t="str">
        <f t="shared" si="17"/>
        <v>Autumn</v>
      </c>
      <c r="H187" s="10">
        <f>weather_data!E187-weather_data!D187</f>
        <v>-0.29999999999999716</v>
      </c>
      <c r="I187" s="9">
        <f>IF(OR(weather_data!H187="light rain",weather_data!H187="moderate rain",weather_data!H187="drizzle",weather_data!H187="thunderstorm"),1,0)</f>
        <v>0</v>
      </c>
      <c r="J187" s="9">
        <f>IF(weather_data!I187&gt;=25,1,0)</f>
        <v>0</v>
      </c>
    </row>
    <row r="188" spans="1:10" x14ac:dyDescent="0.25">
      <c r="A188" s="7">
        <f>weather_data!B188</f>
        <v>45948.895833333343</v>
      </c>
      <c r="B188" s="8">
        <f t="shared" si="12"/>
        <v>45948</v>
      </c>
      <c r="C188" s="9" t="str">
        <f t="shared" si="13"/>
        <v>yyyy-10</v>
      </c>
      <c r="D188" s="9">
        <f t="shared" si="14"/>
        <v>10</v>
      </c>
      <c r="E188" s="9" t="str">
        <f t="shared" si="15"/>
        <v>październik</v>
      </c>
      <c r="F188" s="9" t="str">
        <f t="shared" si="16"/>
        <v>Q4</v>
      </c>
      <c r="G188" s="9" t="str">
        <f t="shared" si="17"/>
        <v>Autumn</v>
      </c>
      <c r="H188" s="10">
        <f>weather_data!E188-weather_data!D188</f>
        <v>0.69999999999999929</v>
      </c>
      <c r="I188" s="9">
        <f>IF(OR(weather_data!H188="light rain",weather_data!H188="moderate rain",weather_data!H188="drizzle",weather_data!H188="thunderstorm"),1,0)</f>
        <v>1</v>
      </c>
      <c r="J188" s="9">
        <f>IF(weather_data!I188&gt;=25,1,0)</f>
        <v>0</v>
      </c>
    </row>
    <row r="189" spans="1:10" x14ac:dyDescent="0.25">
      <c r="A189" s="7">
        <f>weather_data!B189</f>
        <v>45949.826388888891</v>
      </c>
      <c r="B189" s="8">
        <f t="shared" si="12"/>
        <v>45949</v>
      </c>
      <c r="C189" s="9" t="str">
        <f t="shared" si="13"/>
        <v>yyyy-10</v>
      </c>
      <c r="D189" s="9">
        <f t="shared" si="14"/>
        <v>10</v>
      </c>
      <c r="E189" s="9" t="str">
        <f t="shared" si="15"/>
        <v>październik</v>
      </c>
      <c r="F189" s="9" t="str">
        <f t="shared" si="16"/>
        <v>Q4</v>
      </c>
      <c r="G189" s="9" t="str">
        <f t="shared" si="17"/>
        <v>Autumn</v>
      </c>
      <c r="H189" s="10">
        <f>weather_data!E189-weather_data!D189</f>
        <v>-0.10000000000000142</v>
      </c>
      <c r="I189" s="9">
        <f>IF(OR(weather_data!H189="light rain",weather_data!H189="moderate rain",weather_data!H189="drizzle",weather_data!H189="thunderstorm"),1,0)</f>
        <v>0</v>
      </c>
      <c r="J189" s="9">
        <f>IF(weather_data!I189&gt;=25,1,0)</f>
        <v>0</v>
      </c>
    </row>
    <row r="190" spans="1:10" x14ac:dyDescent="0.25">
      <c r="A190" s="7">
        <f>weather_data!B190</f>
        <v>45950.597222222219</v>
      </c>
      <c r="B190" s="8">
        <f t="shared" si="12"/>
        <v>45950</v>
      </c>
      <c r="C190" s="9" t="str">
        <f t="shared" si="13"/>
        <v>yyyy-10</v>
      </c>
      <c r="D190" s="9">
        <f t="shared" si="14"/>
        <v>10</v>
      </c>
      <c r="E190" s="9" t="str">
        <f t="shared" si="15"/>
        <v>październik</v>
      </c>
      <c r="F190" s="9" t="str">
        <f t="shared" si="16"/>
        <v>Q4</v>
      </c>
      <c r="G190" s="9" t="str">
        <f t="shared" si="17"/>
        <v>Autumn</v>
      </c>
      <c r="H190" s="10">
        <f>weather_data!E190-weather_data!D190</f>
        <v>-1.1000000000000014</v>
      </c>
      <c r="I190" s="9">
        <f>IF(OR(weather_data!H190="light rain",weather_data!H190="moderate rain",weather_data!H190="drizzle",weather_data!H190="thunderstorm"),1,0)</f>
        <v>0</v>
      </c>
      <c r="J190" s="9">
        <f>IF(weather_data!I190&gt;=25,1,0)</f>
        <v>0</v>
      </c>
    </row>
    <row r="191" spans="1:10" x14ac:dyDescent="0.25">
      <c r="A191" s="7">
        <f>weather_data!B191</f>
        <v>45951.541666666657</v>
      </c>
      <c r="B191" s="8">
        <f t="shared" si="12"/>
        <v>45951</v>
      </c>
      <c r="C191" s="9" t="str">
        <f t="shared" si="13"/>
        <v>yyyy-10</v>
      </c>
      <c r="D191" s="9">
        <f t="shared" si="14"/>
        <v>10</v>
      </c>
      <c r="E191" s="9" t="str">
        <f t="shared" si="15"/>
        <v>październik</v>
      </c>
      <c r="F191" s="9" t="str">
        <f t="shared" si="16"/>
        <v>Q4</v>
      </c>
      <c r="G191" s="9" t="str">
        <f t="shared" si="17"/>
        <v>Autumn</v>
      </c>
      <c r="H191" s="10">
        <f>weather_data!E191-weather_data!D191</f>
        <v>0.60000000000000142</v>
      </c>
      <c r="I191" s="9">
        <f>IF(OR(weather_data!H191="light rain",weather_data!H191="moderate rain",weather_data!H191="drizzle",weather_data!H191="thunderstorm"),1,0)</f>
        <v>0</v>
      </c>
      <c r="J191" s="9">
        <f>IF(weather_data!I191&gt;=25,1,0)</f>
        <v>0</v>
      </c>
    </row>
    <row r="192" spans="1:10" x14ac:dyDescent="0.25">
      <c r="A192" s="7">
        <f>weather_data!B192</f>
        <v>45952.604166666657</v>
      </c>
      <c r="B192" s="8">
        <f t="shared" si="12"/>
        <v>45952</v>
      </c>
      <c r="C192" s="9" t="str">
        <f t="shared" si="13"/>
        <v>yyyy-10</v>
      </c>
      <c r="D192" s="9">
        <f t="shared" si="14"/>
        <v>10</v>
      </c>
      <c r="E192" s="9" t="str">
        <f t="shared" si="15"/>
        <v>październik</v>
      </c>
      <c r="F192" s="9" t="str">
        <f t="shared" si="16"/>
        <v>Q4</v>
      </c>
      <c r="G192" s="9" t="str">
        <f t="shared" si="17"/>
        <v>Autumn</v>
      </c>
      <c r="H192" s="10">
        <f>weather_data!E192-weather_data!D192</f>
        <v>-0.89999999999999858</v>
      </c>
      <c r="I192" s="9">
        <f>IF(OR(weather_data!H192="light rain",weather_data!H192="moderate rain",weather_data!H192="drizzle",weather_data!H192="thunderstorm"),1,0)</f>
        <v>0</v>
      </c>
      <c r="J192" s="9">
        <f>IF(weather_data!I192&gt;=25,1,0)</f>
        <v>0</v>
      </c>
    </row>
    <row r="193" spans="1:10" x14ac:dyDescent="0.25">
      <c r="A193" s="7">
        <f>weather_data!B193</f>
        <v>45953.5625</v>
      </c>
      <c r="B193" s="8">
        <f t="shared" si="12"/>
        <v>45953</v>
      </c>
      <c r="C193" s="9" t="str">
        <f t="shared" si="13"/>
        <v>yyyy-10</v>
      </c>
      <c r="D193" s="9">
        <f t="shared" si="14"/>
        <v>10</v>
      </c>
      <c r="E193" s="9" t="str">
        <f t="shared" si="15"/>
        <v>październik</v>
      </c>
      <c r="F193" s="9" t="str">
        <f t="shared" si="16"/>
        <v>Q4</v>
      </c>
      <c r="G193" s="9" t="str">
        <f t="shared" si="17"/>
        <v>Autumn</v>
      </c>
      <c r="H193" s="10">
        <f>weather_data!E193-weather_data!D193</f>
        <v>1.1000000000000014</v>
      </c>
      <c r="I193" s="9">
        <f>IF(OR(weather_data!H193="light rain",weather_data!H193="moderate rain",weather_data!H193="drizzle",weather_data!H193="thunderstorm"),1,0)</f>
        <v>0</v>
      </c>
      <c r="J193" s="9">
        <f>IF(weather_data!I193&gt;=25,1,0)</f>
        <v>0</v>
      </c>
    </row>
    <row r="194" spans="1:10" x14ac:dyDescent="0.25">
      <c r="A194" s="7">
        <f>weather_data!B194</f>
        <v>45954.763888888891</v>
      </c>
      <c r="B194" s="8">
        <f t="shared" ref="B194:B257" si="18">INT(A194)</f>
        <v>45954</v>
      </c>
      <c r="C194" s="9" t="str">
        <f t="shared" ref="C194:C257" si="19">TEXT(B194,"yyyy-mm")</f>
        <v>yyyy-10</v>
      </c>
      <c r="D194" s="9">
        <f t="shared" ref="D194:D257" si="20">MONTH(B194)</f>
        <v>10</v>
      </c>
      <c r="E194" s="9" t="str">
        <f t="shared" ref="E194:E257" si="21">TEXT(B194,"mmmm")</f>
        <v>październik</v>
      </c>
      <c r="F194" s="9" t="str">
        <f t="shared" ref="F194:F257" si="22">"Q"&amp;ROUNDUP(D194/3,0)</f>
        <v>Q4</v>
      </c>
      <c r="G194" s="9" t="str">
        <f t="shared" ref="G194:G257" si="23">IF(OR(D194=12,D194&lt;=2),"Winter",IF(D194&lt;=5,"Spring",IF(D194&lt;=8,"Summer","Autumn")))</f>
        <v>Autumn</v>
      </c>
      <c r="H194" s="10">
        <f>weather_data!E194-weather_data!D194</f>
        <v>0.20000000000000284</v>
      </c>
      <c r="I194" s="9">
        <f>IF(OR(weather_data!H194="light rain",weather_data!H194="moderate rain",weather_data!H194="drizzle",weather_data!H194="thunderstorm"),1,0)</f>
        <v>0</v>
      </c>
      <c r="J194" s="9">
        <f>IF(weather_data!I194&gt;=25,1,0)</f>
        <v>0</v>
      </c>
    </row>
    <row r="195" spans="1:10" x14ac:dyDescent="0.25">
      <c r="A195" s="7">
        <f>weather_data!B195</f>
        <v>45955.270833333343</v>
      </c>
      <c r="B195" s="8">
        <f t="shared" si="18"/>
        <v>45955</v>
      </c>
      <c r="C195" s="9" t="str">
        <f t="shared" si="19"/>
        <v>yyyy-10</v>
      </c>
      <c r="D195" s="9">
        <f t="shared" si="20"/>
        <v>10</v>
      </c>
      <c r="E195" s="9" t="str">
        <f t="shared" si="21"/>
        <v>październik</v>
      </c>
      <c r="F195" s="9" t="str">
        <f t="shared" si="22"/>
        <v>Q4</v>
      </c>
      <c r="G195" s="9" t="str">
        <f t="shared" si="23"/>
        <v>Autumn</v>
      </c>
      <c r="H195" s="10">
        <f>weather_data!E195-weather_data!D195</f>
        <v>-0.19999999999999929</v>
      </c>
      <c r="I195" s="9">
        <f>IF(OR(weather_data!H195="light rain",weather_data!H195="moderate rain",weather_data!H195="drizzle",weather_data!H195="thunderstorm"),1,0)</f>
        <v>0</v>
      </c>
      <c r="J195" s="9">
        <f>IF(weather_data!I195&gt;=25,1,0)</f>
        <v>0</v>
      </c>
    </row>
    <row r="196" spans="1:10" x14ac:dyDescent="0.25">
      <c r="A196" s="7">
        <f>weather_data!B196</f>
        <v>45956.673611111109</v>
      </c>
      <c r="B196" s="8">
        <f t="shared" si="18"/>
        <v>45956</v>
      </c>
      <c r="C196" s="9" t="str">
        <f t="shared" si="19"/>
        <v>yyyy-10</v>
      </c>
      <c r="D196" s="9">
        <f t="shared" si="20"/>
        <v>10</v>
      </c>
      <c r="E196" s="9" t="str">
        <f t="shared" si="21"/>
        <v>październik</v>
      </c>
      <c r="F196" s="9" t="str">
        <f t="shared" si="22"/>
        <v>Q4</v>
      </c>
      <c r="G196" s="9" t="str">
        <f t="shared" si="23"/>
        <v>Autumn</v>
      </c>
      <c r="H196" s="10">
        <f>weather_data!E196-weather_data!D196</f>
        <v>1.1999999999999993</v>
      </c>
      <c r="I196" s="9">
        <f>IF(OR(weather_data!H196="light rain",weather_data!H196="moderate rain",weather_data!H196="drizzle",weather_data!H196="thunderstorm"),1,0)</f>
        <v>0</v>
      </c>
      <c r="J196" s="9">
        <f>IF(weather_data!I196&gt;=25,1,0)</f>
        <v>0</v>
      </c>
    </row>
    <row r="197" spans="1:10" x14ac:dyDescent="0.25">
      <c r="A197" s="7">
        <f>weather_data!B197</f>
        <v>45957.881944444453</v>
      </c>
      <c r="B197" s="8">
        <f t="shared" si="18"/>
        <v>45957</v>
      </c>
      <c r="C197" s="9" t="str">
        <f t="shared" si="19"/>
        <v>yyyy-10</v>
      </c>
      <c r="D197" s="9">
        <f t="shared" si="20"/>
        <v>10</v>
      </c>
      <c r="E197" s="9" t="str">
        <f t="shared" si="21"/>
        <v>październik</v>
      </c>
      <c r="F197" s="9" t="str">
        <f t="shared" si="22"/>
        <v>Q4</v>
      </c>
      <c r="G197" s="9" t="str">
        <f t="shared" si="23"/>
        <v>Autumn</v>
      </c>
      <c r="H197" s="10">
        <f>weather_data!E197-weather_data!D197</f>
        <v>-0.30000000000000071</v>
      </c>
      <c r="I197" s="9">
        <f>IF(OR(weather_data!H197="light rain",weather_data!H197="moderate rain",weather_data!H197="drizzle",weather_data!H197="thunderstorm"),1,0)</f>
        <v>0</v>
      </c>
      <c r="J197" s="9">
        <f>IF(weather_data!I197&gt;=25,1,0)</f>
        <v>0</v>
      </c>
    </row>
    <row r="198" spans="1:10" x14ac:dyDescent="0.25">
      <c r="A198" s="7">
        <f>weather_data!B198</f>
        <v>45958.722222222219</v>
      </c>
      <c r="B198" s="8">
        <f t="shared" si="18"/>
        <v>45958</v>
      </c>
      <c r="C198" s="9" t="str">
        <f t="shared" si="19"/>
        <v>yyyy-10</v>
      </c>
      <c r="D198" s="9">
        <f t="shared" si="20"/>
        <v>10</v>
      </c>
      <c r="E198" s="9" t="str">
        <f t="shared" si="21"/>
        <v>październik</v>
      </c>
      <c r="F198" s="9" t="str">
        <f t="shared" si="22"/>
        <v>Q4</v>
      </c>
      <c r="G198" s="9" t="str">
        <f t="shared" si="23"/>
        <v>Autumn</v>
      </c>
      <c r="H198" s="10">
        <f>weather_data!E198-weather_data!D198</f>
        <v>-1</v>
      </c>
      <c r="I198" s="9">
        <f>IF(OR(weather_data!H198="light rain",weather_data!H198="moderate rain",weather_data!H198="drizzle",weather_data!H198="thunderstorm"),1,0)</f>
        <v>0</v>
      </c>
      <c r="J198" s="9">
        <f>IF(weather_data!I198&gt;=25,1,0)</f>
        <v>0</v>
      </c>
    </row>
    <row r="199" spans="1:10" x14ac:dyDescent="0.25">
      <c r="A199" s="7">
        <f>weather_data!B199</f>
        <v>45959.680555555547</v>
      </c>
      <c r="B199" s="8">
        <f t="shared" si="18"/>
        <v>45959</v>
      </c>
      <c r="C199" s="9" t="str">
        <f t="shared" si="19"/>
        <v>yyyy-10</v>
      </c>
      <c r="D199" s="9">
        <f t="shared" si="20"/>
        <v>10</v>
      </c>
      <c r="E199" s="9" t="str">
        <f t="shared" si="21"/>
        <v>październik</v>
      </c>
      <c r="F199" s="9" t="str">
        <f t="shared" si="22"/>
        <v>Q4</v>
      </c>
      <c r="G199" s="9" t="str">
        <f t="shared" si="23"/>
        <v>Autumn</v>
      </c>
      <c r="H199" s="10">
        <f>weather_data!E199-weather_data!D199</f>
        <v>0.39999999999999858</v>
      </c>
      <c r="I199" s="9">
        <f>IF(OR(weather_data!H199="light rain",weather_data!H199="moderate rain",weather_data!H199="drizzle",weather_data!H199="thunderstorm"),1,0)</f>
        <v>0</v>
      </c>
      <c r="J199" s="9">
        <f>IF(weather_data!I199&gt;=25,1,0)</f>
        <v>0</v>
      </c>
    </row>
    <row r="200" spans="1:10" x14ac:dyDescent="0.25">
      <c r="A200" s="7">
        <f>weather_data!B200</f>
        <v>45960.611111111109</v>
      </c>
      <c r="B200" s="8">
        <f t="shared" si="18"/>
        <v>45960</v>
      </c>
      <c r="C200" s="9" t="str">
        <f t="shared" si="19"/>
        <v>yyyy-10</v>
      </c>
      <c r="D200" s="9">
        <f t="shared" si="20"/>
        <v>10</v>
      </c>
      <c r="E200" s="9" t="str">
        <f t="shared" si="21"/>
        <v>październik</v>
      </c>
      <c r="F200" s="9" t="str">
        <f t="shared" si="22"/>
        <v>Q4</v>
      </c>
      <c r="G200" s="9" t="str">
        <f t="shared" si="23"/>
        <v>Autumn</v>
      </c>
      <c r="H200" s="10">
        <f>weather_data!E200-weather_data!D200</f>
        <v>-0.60000000000000142</v>
      </c>
      <c r="I200" s="9">
        <f>IF(OR(weather_data!H200="light rain",weather_data!H200="moderate rain",weather_data!H200="drizzle",weather_data!H200="thunderstorm"),1,0)</f>
        <v>0</v>
      </c>
      <c r="J200" s="9">
        <f>IF(weather_data!I200&gt;=25,1,0)</f>
        <v>0</v>
      </c>
    </row>
    <row r="201" spans="1:10" x14ac:dyDescent="0.25">
      <c r="A201" s="7">
        <f>weather_data!B201</f>
        <v>45961.277777777781</v>
      </c>
      <c r="B201" s="8">
        <f t="shared" si="18"/>
        <v>45961</v>
      </c>
      <c r="C201" s="9" t="str">
        <f t="shared" si="19"/>
        <v>yyyy-10</v>
      </c>
      <c r="D201" s="9">
        <f t="shared" si="20"/>
        <v>10</v>
      </c>
      <c r="E201" s="9" t="str">
        <f t="shared" si="21"/>
        <v>październik</v>
      </c>
      <c r="F201" s="9" t="str">
        <f t="shared" si="22"/>
        <v>Q4</v>
      </c>
      <c r="G201" s="9" t="str">
        <f t="shared" si="23"/>
        <v>Autumn</v>
      </c>
      <c r="H201" s="10">
        <f>weather_data!E201-weather_data!D201</f>
        <v>-0.5</v>
      </c>
      <c r="I201" s="9">
        <f>IF(OR(weather_data!H201="light rain",weather_data!H201="moderate rain",weather_data!H201="drizzle",weather_data!H201="thunderstorm"),1,0)</f>
        <v>0</v>
      </c>
      <c r="J201" s="9">
        <f>IF(weather_data!I201&gt;=25,1,0)</f>
        <v>0</v>
      </c>
    </row>
    <row r="202" spans="1:10" x14ac:dyDescent="0.25">
      <c r="A202" s="7">
        <f>weather_data!B202</f>
        <v>45962.5</v>
      </c>
      <c r="B202" s="8">
        <f t="shared" si="18"/>
        <v>45962</v>
      </c>
      <c r="C202" s="9" t="str">
        <f t="shared" si="19"/>
        <v>yyyy-11</v>
      </c>
      <c r="D202" s="9">
        <f t="shared" si="20"/>
        <v>11</v>
      </c>
      <c r="E202" s="9" t="str">
        <f t="shared" si="21"/>
        <v>listopad</v>
      </c>
      <c r="F202" s="9" t="str">
        <f t="shared" si="22"/>
        <v>Q4</v>
      </c>
      <c r="G202" s="9" t="str">
        <f t="shared" si="23"/>
        <v>Autumn</v>
      </c>
      <c r="H202" s="10">
        <f>weather_data!E202-weather_data!D202</f>
        <v>0.90000000000000213</v>
      </c>
      <c r="I202" s="9">
        <f>IF(OR(weather_data!H202="light rain",weather_data!H202="moderate rain",weather_data!H202="drizzle",weather_data!H202="thunderstorm"),1,0)</f>
        <v>0</v>
      </c>
      <c r="J202" s="9">
        <f>IF(weather_data!I202&gt;=25,1,0)</f>
        <v>0</v>
      </c>
    </row>
    <row r="203" spans="1:10" x14ac:dyDescent="0.25">
      <c r="A203" s="7">
        <f>weather_data!B203</f>
        <v>45963.576388888891</v>
      </c>
      <c r="B203" s="8">
        <f t="shared" si="18"/>
        <v>45963</v>
      </c>
      <c r="C203" s="9" t="str">
        <f t="shared" si="19"/>
        <v>yyyy-11</v>
      </c>
      <c r="D203" s="9">
        <f t="shared" si="20"/>
        <v>11</v>
      </c>
      <c r="E203" s="9" t="str">
        <f t="shared" si="21"/>
        <v>listopad</v>
      </c>
      <c r="F203" s="9" t="str">
        <f t="shared" si="22"/>
        <v>Q4</v>
      </c>
      <c r="G203" s="9" t="str">
        <f t="shared" si="23"/>
        <v>Autumn</v>
      </c>
      <c r="H203" s="10">
        <f>weather_data!E203-weather_data!D203</f>
        <v>-0.40000000000000036</v>
      </c>
      <c r="I203" s="9">
        <f>IF(OR(weather_data!H203="light rain",weather_data!H203="moderate rain",weather_data!H203="drizzle",weather_data!H203="thunderstorm"),1,0)</f>
        <v>0</v>
      </c>
      <c r="J203" s="9">
        <f>IF(weather_data!I203&gt;=25,1,0)</f>
        <v>0</v>
      </c>
    </row>
    <row r="204" spans="1:10" x14ac:dyDescent="0.25">
      <c r="A204" s="7">
        <f>weather_data!B204</f>
        <v>45964.8125</v>
      </c>
      <c r="B204" s="8">
        <f t="shared" si="18"/>
        <v>45964</v>
      </c>
      <c r="C204" s="9" t="str">
        <f t="shared" si="19"/>
        <v>yyyy-11</v>
      </c>
      <c r="D204" s="9">
        <f t="shared" si="20"/>
        <v>11</v>
      </c>
      <c r="E204" s="9" t="str">
        <f t="shared" si="21"/>
        <v>listopad</v>
      </c>
      <c r="F204" s="9" t="str">
        <f t="shared" si="22"/>
        <v>Q4</v>
      </c>
      <c r="G204" s="9" t="str">
        <f t="shared" si="23"/>
        <v>Autumn</v>
      </c>
      <c r="H204" s="10">
        <f>weather_data!E204-weather_data!D204</f>
        <v>0.70000000000000284</v>
      </c>
      <c r="I204" s="9">
        <f>IF(OR(weather_data!H204="light rain",weather_data!H204="moderate rain",weather_data!H204="drizzle",weather_data!H204="thunderstorm"),1,0)</f>
        <v>0</v>
      </c>
      <c r="J204" s="9">
        <f>IF(weather_data!I204&gt;=25,1,0)</f>
        <v>0</v>
      </c>
    </row>
    <row r="205" spans="1:10" x14ac:dyDescent="0.25">
      <c r="A205" s="7">
        <f>weather_data!B205</f>
        <v>45965.576388888891</v>
      </c>
      <c r="B205" s="8">
        <f t="shared" si="18"/>
        <v>45965</v>
      </c>
      <c r="C205" s="9" t="str">
        <f t="shared" si="19"/>
        <v>yyyy-11</v>
      </c>
      <c r="D205" s="9">
        <f t="shared" si="20"/>
        <v>11</v>
      </c>
      <c r="E205" s="9" t="str">
        <f t="shared" si="21"/>
        <v>listopad</v>
      </c>
      <c r="F205" s="9" t="str">
        <f t="shared" si="22"/>
        <v>Q4</v>
      </c>
      <c r="G205" s="9" t="str">
        <f t="shared" si="23"/>
        <v>Autumn</v>
      </c>
      <c r="H205" s="10">
        <f>weather_data!E205-weather_data!D205</f>
        <v>-0.40000000000000213</v>
      </c>
      <c r="I205" s="9">
        <f>IF(OR(weather_data!H205="light rain",weather_data!H205="moderate rain",weather_data!H205="drizzle",weather_data!H205="thunderstorm"),1,0)</f>
        <v>0</v>
      </c>
      <c r="J205" s="9">
        <f>IF(weather_data!I205&gt;=25,1,0)</f>
        <v>0</v>
      </c>
    </row>
    <row r="206" spans="1:10" x14ac:dyDescent="0.25">
      <c r="A206" s="7">
        <f>weather_data!B206</f>
        <v>45966.909722222219</v>
      </c>
      <c r="B206" s="8">
        <f t="shared" si="18"/>
        <v>45966</v>
      </c>
      <c r="C206" s="9" t="str">
        <f t="shared" si="19"/>
        <v>yyyy-11</v>
      </c>
      <c r="D206" s="9">
        <f t="shared" si="20"/>
        <v>11</v>
      </c>
      <c r="E206" s="9" t="str">
        <f t="shared" si="21"/>
        <v>listopad</v>
      </c>
      <c r="F206" s="9" t="str">
        <f t="shared" si="22"/>
        <v>Q4</v>
      </c>
      <c r="G206" s="9" t="str">
        <f t="shared" si="23"/>
        <v>Autumn</v>
      </c>
      <c r="H206" s="10">
        <f>weather_data!E206-weather_data!D206</f>
        <v>1.2000000000000028</v>
      </c>
      <c r="I206" s="9">
        <f>IF(OR(weather_data!H206="light rain",weather_data!H206="moderate rain",weather_data!H206="drizzle",weather_data!H206="thunderstorm"),1,0)</f>
        <v>0</v>
      </c>
      <c r="J206" s="9">
        <f>IF(weather_data!I206&gt;=25,1,0)</f>
        <v>0</v>
      </c>
    </row>
    <row r="207" spans="1:10" x14ac:dyDescent="0.25">
      <c r="A207" s="7">
        <f>weather_data!B207</f>
        <v>45967.895833333343</v>
      </c>
      <c r="B207" s="8">
        <f t="shared" si="18"/>
        <v>45967</v>
      </c>
      <c r="C207" s="9" t="str">
        <f t="shared" si="19"/>
        <v>yyyy-11</v>
      </c>
      <c r="D207" s="9">
        <f t="shared" si="20"/>
        <v>11</v>
      </c>
      <c r="E207" s="9" t="str">
        <f t="shared" si="21"/>
        <v>listopad</v>
      </c>
      <c r="F207" s="9" t="str">
        <f t="shared" si="22"/>
        <v>Q4</v>
      </c>
      <c r="G207" s="9" t="str">
        <f t="shared" si="23"/>
        <v>Autumn</v>
      </c>
      <c r="H207" s="10">
        <f>weather_data!E207-weather_data!D207</f>
        <v>-0.39999999999999858</v>
      </c>
      <c r="I207" s="9">
        <f>IF(OR(weather_data!H207="light rain",weather_data!H207="moderate rain",weather_data!H207="drizzle",weather_data!H207="thunderstorm"),1,0)</f>
        <v>1</v>
      </c>
      <c r="J207" s="9">
        <f>IF(weather_data!I207&gt;=25,1,0)</f>
        <v>1</v>
      </c>
    </row>
    <row r="208" spans="1:10" x14ac:dyDescent="0.25">
      <c r="A208" s="7">
        <f>weather_data!B208</f>
        <v>45968.25</v>
      </c>
      <c r="B208" s="8">
        <f t="shared" si="18"/>
        <v>45968</v>
      </c>
      <c r="C208" s="9" t="str">
        <f t="shared" si="19"/>
        <v>yyyy-11</v>
      </c>
      <c r="D208" s="9">
        <f t="shared" si="20"/>
        <v>11</v>
      </c>
      <c r="E208" s="9" t="str">
        <f t="shared" si="21"/>
        <v>listopad</v>
      </c>
      <c r="F208" s="9" t="str">
        <f t="shared" si="22"/>
        <v>Q4</v>
      </c>
      <c r="G208" s="9" t="str">
        <f t="shared" si="23"/>
        <v>Autumn</v>
      </c>
      <c r="H208" s="10">
        <f>weather_data!E208-weather_data!D208</f>
        <v>-1.1000000000000014</v>
      </c>
      <c r="I208" s="9">
        <f>IF(OR(weather_data!H208="light rain",weather_data!H208="moderate rain",weather_data!H208="drizzle",weather_data!H208="thunderstorm"),1,0)</f>
        <v>0</v>
      </c>
      <c r="J208" s="9">
        <f>IF(weather_data!I208&gt;=25,1,0)</f>
        <v>0</v>
      </c>
    </row>
    <row r="209" spans="1:10" x14ac:dyDescent="0.25">
      <c r="A209" s="7">
        <f>weather_data!B209</f>
        <v>45970.631944444453</v>
      </c>
      <c r="B209" s="8">
        <f t="shared" si="18"/>
        <v>45970</v>
      </c>
      <c r="C209" s="9" t="str">
        <f t="shared" si="19"/>
        <v>yyyy-11</v>
      </c>
      <c r="D209" s="9">
        <f t="shared" si="20"/>
        <v>11</v>
      </c>
      <c r="E209" s="9" t="str">
        <f t="shared" si="21"/>
        <v>listopad</v>
      </c>
      <c r="F209" s="9" t="str">
        <f t="shared" si="22"/>
        <v>Q4</v>
      </c>
      <c r="G209" s="9" t="str">
        <f t="shared" si="23"/>
        <v>Autumn</v>
      </c>
      <c r="H209" s="10">
        <f>weather_data!E209-weather_data!D209</f>
        <v>1</v>
      </c>
      <c r="I209" s="9">
        <f>IF(OR(weather_data!H209="light rain",weather_data!H209="moderate rain",weather_data!H209="drizzle",weather_data!H209="thunderstorm"),1,0)</f>
        <v>0</v>
      </c>
      <c r="J209" s="9">
        <f>IF(weather_data!I209&gt;=25,1,0)</f>
        <v>0</v>
      </c>
    </row>
    <row r="210" spans="1:10" x14ac:dyDescent="0.25">
      <c r="A210" s="7">
        <f>weather_data!B210</f>
        <v>45971.784722222219</v>
      </c>
      <c r="B210" s="8">
        <f t="shared" si="18"/>
        <v>45971</v>
      </c>
      <c r="C210" s="9" t="str">
        <f t="shared" si="19"/>
        <v>yyyy-11</v>
      </c>
      <c r="D210" s="9">
        <f t="shared" si="20"/>
        <v>11</v>
      </c>
      <c r="E210" s="9" t="str">
        <f t="shared" si="21"/>
        <v>listopad</v>
      </c>
      <c r="F210" s="9" t="str">
        <f t="shared" si="22"/>
        <v>Q4</v>
      </c>
      <c r="G210" s="9" t="str">
        <f t="shared" si="23"/>
        <v>Autumn</v>
      </c>
      <c r="H210" s="10">
        <f>weather_data!E210-weather_data!D210</f>
        <v>0.19999999999999929</v>
      </c>
      <c r="I210" s="9">
        <f>IF(OR(weather_data!H210="light rain",weather_data!H210="moderate rain",weather_data!H210="drizzle",weather_data!H210="thunderstorm"),1,0)</f>
        <v>1</v>
      </c>
      <c r="J210" s="9">
        <f>IF(weather_data!I210&gt;=25,1,0)</f>
        <v>0</v>
      </c>
    </row>
    <row r="211" spans="1:10" x14ac:dyDescent="0.25">
      <c r="A211" s="7">
        <f>weather_data!B211</f>
        <v>45972.555555555547</v>
      </c>
      <c r="B211" s="8">
        <f t="shared" si="18"/>
        <v>45972</v>
      </c>
      <c r="C211" s="9" t="str">
        <f t="shared" si="19"/>
        <v>yyyy-11</v>
      </c>
      <c r="D211" s="9">
        <f t="shared" si="20"/>
        <v>11</v>
      </c>
      <c r="E211" s="9" t="str">
        <f t="shared" si="21"/>
        <v>listopad</v>
      </c>
      <c r="F211" s="9" t="str">
        <f t="shared" si="22"/>
        <v>Q4</v>
      </c>
      <c r="G211" s="9" t="str">
        <f t="shared" si="23"/>
        <v>Autumn</v>
      </c>
      <c r="H211" s="10">
        <f>weather_data!E211-weather_data!D211</f>
        <v>0.30000000000000071</v>
      </c>
      <c r="I211" s="9">
        <f>IF(OR(weather_data!H211="light rain",weather_data!H211="moderate rain",weather_data!H211="drizzle",weather_data!H211="thunderstorm"),1,0)</f>
        <v>1</v>
      </c>
      <c r="J211" s="9">
        <f>IF(weather_data!I211&gt;=25,1,0)</f>
        <v>0</v>
      </c>
    </row>
    <row r="212" spans="1:10" x14ac:dyDescent="0.25">
      <c r="A212" s="7">
        <f>weather_data!B212</f>
        <v>45973.729166666657</v>
      </c>
      <c r="B212" s="8">
        <f t="shared" si="18"/>
        <v>45973</v>
      </c>
      <c r="C212" s="9" t="str">
        <f t="shared" si="19"/>
        <v>yyyy-11</v>
      </c>
      <c r="D212" s="9">
        <f t="shared" si="20"/>
        <v>11</v>
      </c>
      <c r="E212" s="9" t="str">
        <f t="shared" si="21"/>
        <v>listopad</v>
      </c>
      <c r="F212" s="9" t="str">
        <f t="shared" si="22"/>
        <v>Q4</v>
      </c>
      <c r="G212" s="9" t="str">
        <f t="shared" si="23"/>
        <v>Autumn</v>
      </c>
      <c r="H212" s="10">
        <f>weather_data!E212-weather_data!D212</f>
        <v>-0.5</v>
      </c>
      <c r="I212" s="9">
        <f>IF(OR(weather_data!H212="light rain",weather_data!H212="moderate rain",weather_data!H212="drizzle",weather_data!H212="thunderstorm"),1,0)</f>
        <v>0</v>
      </c>
      <c r="J212" s="9">
        <f>IF(weather_data!I212&gt;=25,1,0)</f>
        <v>0</v>
      </c>
    </row>
    <row r="213" spans="1:10" x14ac:dyDescent="0.25">
      <c r="A213" s="7">
        <f>weather_data!B213</f>
        <v>45974.729166666657</v>
      </c>
      <c r="B213" s="8">
        <f t="shared" si="18"/>
        <v>45974</v>
      </c>
      <c r="C213" s="9" t="str">
        <f t="shared" si="19"/>
        <v>yyyy-11</v>
      </c>
      <c r="D213" s="9">
        <f t="shared" si="20"/>
        <v>11</v>
      </c>
      <c r="E213" s="9" t="str">
        <f t="shared" si="21"/>
        <v>listopad</v>
      </c>
      <c r="F213" s="9" t="str">
        <f t="shared" si="22"/>
        <v>Q4</v>
      </c>
      <c r="G213" s="9" t="str">
        <f t="shared" si="23"/>
        <v>Autumn</v>
      </c>
      <c r="H213" s="10">
        <f>weather_data!E213-weather_data!D213</f>
        <v>-1</v>
      </c>
      <c r="I213" s="9">
        <f>IF(OR(weather_data!H213="light rain",weather_data!H213="moderate rain",weather_data!H213="drizzle",weather_data!H213="thunderstorm"),1,0)</f>
        <v>0</v>
      </c>
      <c r="J213" s="9">
        <f>IF(weather_data!I213&gt;=25,1,0)</f>
        <v>0</v>
      </c>
    </row>
    <row r="214" spans="1:10" x14ac:dyDescent="0.25">
      <c r="A214" s="7">
        <f>weather_data!B214</f>
        <v>45975.680555555547</v>
      </c>
      <c r="B214" s="8">
        <f t="shared" si="18"/>
        <v>45975</v>
      </c>
      <c r="C214" s="9" t="str">
        <f t="shared" si="19"/>
        <v>yyyy-11</v>
      </c>
      <c r="D214" s="9">
        <f t="shared" si="20"/>
        <v>11</v>
      </c>
      <c r="E214" s="9" t="str">
        <f t="shared" si="21"/>
        <v>listopad</v>
      </c>
      <c r="F214" s="9" t="str">
        <f t="shared" si="22"/>
        <v>Q4</v>
      </c>
      <c r="G214" s="9" t="str">
        <f t="shared" si="23"/>
        <v>Autumn</v>
      </c>
      <c r="H214" s="10">
        <f>weather_data!E214-weather_data!D214</f>
        <v>-0.5</v>
      </c>
      <c r="I214" s="9">
        <f>IF(OR(weather_data!H214="light rain",weather_data!H214="moderate rain",weather_data!H214="drizzle",weather_data!H214="thunderstorm"),1,0)</f>
        <v>0</v>
      </c>
      <c r="J214" s="9">
        <f>IF(weather_data!I214&gt;=25,1,0)</f>
        <v>0</v>
      </c>
    </row>
    <row r="215" spans="1:10" x14ac:dyDescent="0.25">
      <c r="A215" s="7">
        <f>weather_data!B215</f>
        <v>45976.847222222219</v>
      </c>
      <c r="B215" s="8">
        <f t="shared" si="18"/>
        <v>45976</v>
      </c>
      <c r="C215" s="9" t="str">
        <f t="shared" si="19"/>
        <v>yyyy-11</v>
      </c>
      <c r="D215" s="9">
        <f t="shared" si="20"/>
        <v>11</v>
      </c>
      <c r="E215" s="9" t="str">
        <f t="shared" si="21"/>
        <v>listopad</v>
      </c>
      <c r="F215" s="9" t="str">
        <f t="shared" si="22"/>
        <v>Q4</v>
      </c>
      <c r="G215" s="9" t="str">
        <f t="shared" si="23"/>
        <v>Autumn</v>
      </c>
      <c r="H215" s="10">
        <f>weather_data!E215-weather_data!D215</f>
        <v>-0.89999999999999858</v>
      </c>
      <c r="I215" s="9">
        <f>IF(OR(weather_data!H215="light rain",weather_data!H215="moderate rain",weather_data!H215="drizzle",weather_data!H215="thunderstorm"),1,0)</f>
        <v>1</v>
      </c>
      <c r="J215" s="9">
        <f>IF(weather_data!I215&gt;=25,1,0)</f>
        <v>1</v>
      </c>
    </row>
    <row r="216" spans="1:10" x14ac:dyDescent="0.25">
      <c r="A216" s="7">
        <f>weather_data!B216</f>
        <v>45977.638888888891</v>
      </c>
      <c r="B216" s="8">
        <f t="shared" si="18"/>
        <v>45977</v>
      </c>
      <c r="C216" s="9" t="str">
        <f t="shared" si="19"/>
        <v>yyyy-11</v>
      </c>
      <c r="D216" s="9">
        <f t="shared" si="20"/>
        <v>11</v>
      </c>
      <c r="E216" s="9" t="str">
        <f t="shared" si="21"/>
        <v>listopad</v>
      </c>
      <c r="F216" s="9" t="str">
        <f t="shared" si="22"/>
        <v>Q4</v>
      </c>
      <c r="G216" s="9" t="str">
        <f t="shared" si="23"/>
        <v>Autumn</v>
      </c>
      <c r="H216" s="10">
        <f>weather_data!E216-weather_data!D216</f>
        <v>1</v>
      </c>
      <c r="I216" s="9">
        <f>IF(OR(weather_data!H216="light rain",weather_data!H216="moderate rain",weather_data!H216="drizzle",weather_data!H216="thunderstorm"),1,0)</f>
        <v>0</v>
      </c>
      <c r="J216" s="9">
        <f>IF(weather_data!I216&gt;=25,1,0)</f>
        <v>0</v>
      </c>
    </row>
    <row r="217" spans="1:10" x14ac:dyDescent="0.25">
      <c r="A217" s="7">
        <f>weather_data!B217</f>
        <v>45978.541666666657</v>
      </c>
      <c r="B217" s="8">
        <f t="shared" si="18"/>
        <v>45978</v>
      </c>
      <c r="C217" s="9" t="str">
        <f t="shared" si="19"/>
        <v>yyyy-11</v>
      </c>
      <c r="D217" s="9">
        <f t="shared" si="20"/>
        <v>11</v>
      </c>
      <c r="E217" s="9" t="str">
        <f t="shared" si="21"/>
        <v>listopad</v>
      </c>
      <c r="F217" s="9" t="str">
        <f t="shared" si="22"/>
        <v>Q4</v>
      </c>
      <c r="G217" s="9" t="str">
        <f t="shared" si="23"/>
        <v>Autumn</v>
      </c>
      <c r="H217" s="10">
        <f>weather_data!E217-weather_data!D217</f>
        <v>1.1000000000000014</v>
      </c>
      <c r="I217" s="9">
        <f>IF(OR(weather_data!H217="light rain",weather_data!H217="moderate rain",weather_data!H217="drizzle",weather_data!H217="thunderstorm"),1,0)</f>
        <v>1</v>
      </c>
      <c r="J217" s="9">
        <f>IF(weather_data!I217&gt;=25,1,0)</f>
        <v>0</v>
      </c>
    </row>
    <row r="218" spans="1:10" x14ac:dyDescent="0.25">
      <c r="A218" s="7">
        <f>weather_data!B218</f>
        <v>45979.513888888891</v>
      </c>
      <c r="B218" s="8">
        <f t="shared" si="18"/>
        <v>45979</v>
      </c>
      <c r="C218" s="9" t="str">
        <f t="shared" si="19"/>
        <v>yyyy-11</v>
      </c>
      <c r="D218" s="9">
        <f t="shared" si="20"/>
        <v>11</v>
      </c>
      <c r="E218" s="9" t="str">
        <f t="shared" si="21"/>
        <v>listopad</v>
      </c>
      <c r="F218" s="9" t="str">
        <f t="shared" si="22"/>
        <v>Q4</v>
      </c>
      <c r="G218" s="9" t="str">
        <f t="shared" si="23"/>
        <v>Autumn</v>
      </c>
      <c r="H218" s="10">
        <f>weather_data!E218-weather_data!D218</f>
        <v>-1.5</v>
      </c>
      <c r="I218" s="9">
        <f>IF(OR(weather_data!H218="light rain",weather_data!H218="moderate rain",weather_data!H218="drizzle",weather_data!H218="thunderstorm"),1,0)</f>
        <v>1</v>
      </c>
      <c r="J218" s="9">
        <f>IF(weather_data!I218&gt;=25,1,0)</f>
        <v>0</v>
      </c>
    </row>
    <row r="219" spans="1:10" x14ac:dyDescent="0.25">
      <c r="A219" s="7">
        <f>weather_data!B219</f>
        <v>45980.409722222219</v>
      </c>
      <c r="B219" s="8">
        <f t="shared" si="18"/>
        <v>45980</v>
      </c>
      <c r="C219" s="9" t="str">
        <f t="shared" si="19"/>
        <v>yyyy-11</v>
      </c>
      <c r="D219" s="9">
        <f t="shared" si="20"/>
        <v>11</v>
      </c>
      <c r="E219" s="9" t="str">
        <f t="shared" si="21"/>
        <v>listopad</v>
      </c>
      <c r="F219" s="9" t="str">
        <f t="shared" si="22"/>
        <v>Q4</v>
      </c>
      <c r="G219" s="9" t="str">
        <f t="shared" si="23"/>
        <v>Autumn</v>
      </c>
      <c r="H219" s="10">
        <f>weather_data!E219-weather_data!D219</f>
        <v>9.9999999999999645E-2</v>
      </c>
      <c r="I219" s="9">
        <f>IF(OR(weather_data!H219="light rain",weather_data!H219="moderate rain",weather_data!H219="drizzle",weather_data!H219="thunderstorm"),1,0)</f>
        <v>0</v>
      </c>
      <c r="J219" s="9">
        <f>IF(weather_data!I219&gt;=25,1,0)</f>
        <v>0</v>
      </c>
    </row>
    <row r="220" spans="1:10" x14ac:dyDescent="0.25">
      <c r="A220" s="7">
        <f>weather_data!B220</f>
        <v>45981.465277777781</v>
      </c>
      <c r="B220" s="8">
        <f t="shared" si="18"/>
        <v>45981</v>
      </c>
      <c r="C220" s="9" t="str">
        <f t="shared" si="19"/>
        <v>yyyy-11</v>
      </c>
      <c r="D220" s="9">
        <f t="shared" si="20"/>
        <v>11</v>
      </c>
      <c r="E220" s="9" t="str">
        <f t="shared" si="21"/>
        <v>listopad</v>
      </c>
      <c r="F220" s="9" t="str">
        <f t="shared" si="22"/>
        <v>Q4</v>
      </c>
      <c r="G220" s="9" t="str">
        <f t="shared" si="23"/>
        <v>Autumn</v>
      </c>
      <c r="H220" s="10">
        <f>weather_data!E220-weather_data!D220</f>
        <v>0.5</v>
      </c>
      <c r="I220" s="9">
        <f>IF(OR(weather_data!H220="light rain",weather_data!H220="moderate rain",weather_data!H220="drizzle",weather_data!H220="thunderstorm"),1,0)</f>
        <v>0</v>
      </c>
      <c r="J220" s="9">
        <f>IF(weather_data!I220&gt;=25,1,0)</f>
        <v>0</v>
      </c>
    </row>
    <row r="221" spans="1:10" x14ac:dyDescent="0.25">
      <c r="A221" s="7">
        <f>weather_data!B221</f>
        <v>45982.534722222219</v>
      </c>
      <c r="B221" s="8">
        <f t="shared" si="18"/>
        <v>45982</v>
      </c>
      <c r="C221" s="9" t="str">
        <f t="shared" si="19"/>
        <v>yyyy-11</v>
      </c>
      <c r="D221" s="9">
        <f t="shared" si="20"/>
        <v>11</v>
      </c>
      <c r="E221" s="9" t="str">
        <f t="shared" si="21"/>
        <v>listopad</v>
      </c>
      <c r="F221" s="9" t="str">
        <f t="shared" si="22"/>
        <v>Q4</v>
      </c>
      <c r="G221" s="9" t="str">
        <f t="shared" si="23"/>
        <v>Autumn</v>
      </c>
      <c r="H221" s="10">
        <f>weather_data!E221-weather_data!D221</f>
        <v>0</v>
      </c>
      <c r="I221" s="9">
        <f>IF(OR(weather_data!H221="light rain",weather_data!H221="moderate rain",weather_data!H221="drizzle",weather_data!H221="thunderstorm"),1,0)</f>
        <v>1</v>
      </c>
      <c r="J221" s="9">
        <f>IF(weather_data!I221&gt;=25,1,0)</f>
        <v>0</v>
      </c>
    </row>
    <row r="222" spans="1:10" x14ac:dyDescent="0.25">
      <c r="A222" s="7">
        <f>weather_data!B222</f>
        <v>45983.888888888891</v>
      </c>
      <c r="B222" s="8">
        <f t="shared" si="18"/>
        <v>45983</v>
      </c>
      <c r="C222" s="9" t="str">
        <f t="shared" si="19"/>
        <v>yyyy-11</v>
      </c>
      <c r="D222" s="9">
        <f t="shared" si="20"/>
        <v>11</v>
      </c>
      <c r="E222" s="9" t="str">
        <f t="shared" si="21"/>
        <v>listopad</v>
      </c>
      <c r="F222" s="9" t="str">
        <f t="shared" si="22"/>
        <v>Q4</v>
      </c>
      <c r="G222" s="9" t="str">
        <f t="shared" si="23"/>
        <v>Autumn</v>
      </c>
      <c r="H222" s="10">
        <f>weather_data!E222-weather_data!D222</f>
        <v>0.19999999999999929</v>
      </c>
      <c r="I222" s="9">
        <f>IF(OR(weather_data!H222="light rain",weather_data!H222="moderate rain",weather_data!H222="drizzle",weather_data!H222="thunderstorm"),1,0)</f>
        <v>0</v>
      </c>
      <c r="J222" s="9">
        <f>IF(weather_data!I222&gt;=25,1,0)</f>
        <v>0</v>
      </c>
    </row>
    <row r="223" spans="1:10" x14ac:dyDescent="0.25">
      <c r="A223" s="7">
        <f>weather_data!B223</f>
        <v>45984.625</v>
      </c>
      <c r="B223" s="8">
        <f t="shared" si="18"/>
        <v>45984</v>
      </c>
      <c r="C223" s="9" t="str">
        <f t="shared" si="19"/>
        <v>yyyy-11</v>
      </c>
      <c r="D223" s="9">
        <f t="shared" si="20"/>
        <v>11</v>
      </c>
      <c r="E223" s="9" t="str">
        <f t="shared" si="21"/>
        <v>listopad</v>
      </c>
      <c r="F223" s="9" t="str">
        <f t="shared" si="22"/>
        <v>Q4</v>
      </c>
      <c r="G223" s="9" t="str">
        <f t="shared" si="23"/>
        <v>Autumn</v>
      </c>
      <c r="H223" s="10">
        <f>weather_data!E223-weather_data!D223</f>
        <v>-0.40000000000000036</v>
      </c>
      <c r="I223" s="9">
        <f>IF(OR(weather_data!H223="light rain",weather_data!H223="moderate rain",weather_data!H223="drizzle",weather_data!H223="thunderstorm"),1,0)</f>
        <v>0</v>
      </c>
      <c r="J223" s="9">
        <f>IF(weather_data!I223&gt;=25,1,0)</f>
        <v>0</v>
      </c>
    </row>
    <row r="224" spans="1:10" x14ac:dyDescent="0.25">
      <c r="A224" s="7">
        <f>weather_data!B224</f>
        <v>45985.513888888891</v>
      </c>
      <c r="B224" s="8">
        <f t="shared" si="18"/>
        <v>45985</v>
      </c>
      <c r="C224" s="9" t="str">
        <f t="shared" si="19"/>
        <v>yyyy-11</v>
      </c>
      <c r="D224" s="9">
        <f t="shared" si="20"/>
        <v>11</v>
      </c>
      <c r="E224" s="9" t="str">
        <f t="shared" si="21"/>
        <v>listopad</v>
      </c>
      <c r="F224" s="9" t="str">
        <f t="shared" si="22"/>
        <v>Q4</v>
      </c>
      <c r="G224" s="9" t="str">
        <f t="shared" si="23"/>
        <v>Autumn</v>
      </c>
      <c r="H224" s="10">
        <f>weather_data!E224-weather_data!D224</f>
        <v>1.1999999999999993</v>
      </c>
      <c r="I224" s="9">
        <f>IF(OR(weather_data!H224="light rain",weather_data!H224="moderate rain",weather_data!H224="drizzle",weather_data!H224="thunderstorm"),1,0)</f>
        <v>0</v>
      </c>
      <c r="J224" s="9">
        <f>IF(weather_data!I224&gt;=25,1,0)</f>
        <v>0</v>
      </c>
    </row>
    <row r="225" spans="1:10" x14ac:dyDescent="0.25">
      <c r="A225" s="7">
        <f>weather_data!B225</f>
        <v>45986.555555555547</v>
      </c>
      <c r="B225" s="8">
        <f t="shared" si="18"/>
        <v>45986</v>
      </c>
      <c r="C225" s="9" t="str">
        <f t="shared" si="19"/>
        <v>yyyy-11</v>
      </c>
      <c r="D225" s="9">
        <f t="shared" si="20"/>
        <v>11</v>
      </c>
      <c r="E225" s="9" t="str">
        <f t="shared" si="21"/>
        <v>listopad</v>
      </c>
      <c r="F225" s="9" t="str">
        <f t="shared" si="22"/>
        <v>Q4</v>
      </c>
      <c r="G225" s="9" t="str">
        <f t="shared" si="23"/>
        <v>Autumn</v>
      </c>
      <c r="H225" s="10">
        <f>weather_data!E225-weather_data!D225</f>
        <v>-2.0999999999999996</v>
      </c>
      <c r="I225" s="9">
        <f>IF(OR(weather_data!H225="light rain",weather_data!H225="moderate rain",weather_data!H225="drizzle",weather_data!H225="thunderstorm"),1,0)</f>
        <v>1</v>
      </c>
      <c r="J225" s="9">
        <f>IF(weather_data!I225&gt;=25,1,0)</f>
        <v>1</v>
      </c>
    </row>
    <row r="226" spans="1:10" x14ac:dyDescent="0.25">
      <c r="A226" s="7">
        <f>weather_data!B226</f>
        <v>45987.472222222219</v>
      </c>
      <c r="B226" s="8">
        <f t="shared" si="18"/>
        <v>45987</v>
      </c>
      <c r="C226" s="9" t="str">
        <f t="shared" si="19"/>
        <v>yyyy-11</v>
      </c>
      <c r="D226" s="9">
        <f t="shared" si="20"/>
        <v>11</v>
      </c>
      <c r="E226" s="9" t="str">
        <f t="shared" si="21"/>
        <v>listopad</v>
      </c>
      <c r="F226" s="9" t="str">
        <f t="shared" si="22"/>
        <v>Q4</v>
      </c>
      <c r="G226" s="9" t="str">
        <f t="shared" si="23"/>
        <v>Autumn</v>
      </c>
      <c r="H226" s="10">
        <f>weather_data!E226-weather_data!D226</f>
        <v>0.40000000000000036</v>
      </c>
      <c r="I226" s="9">
        <f>IF(OR(weather_data!H226="light rain",weather_data!H226="moderate rain",weather_data!H226="drizzle",weather_data!H226="thunderstorm"),1,0)</f>
        <v>0</v>
      </c>
      <c r="J226" s="9">
        <f>IF(weather_data!I226&gt;=25,1,0)</f>
        <v>0</v>
      </c>
    </row>
    <row r="227" spans="1:10" x14ac:dyDescent="0.25">
      <c r="A227" s="7">
        <f>weather_data!B227</f>
        <v>45988.284722222219</v>
      </c>
      <c r="B227" s="8">
        <f t="shared" si="18"/>
        <v>45988</v>
      </c>
      <c r="C227" s="9" t="str">
        <f t="shared" si="19"/>
        <v>yyyy-11</v>
      </c>
      <c r="D227" s="9">
        <f t="shared" si="20"/>
        <v>11</v>
      </c>
      <c r="E227" s="9" t="str">
        <f t="shared" si="21"/>
        <v>listopad</v>
      </c>
      <c r="F227" s="9" t="str">
        <f t="shared" si="22"/>
        <v>Q4</v>
      </c>
      <c r="G227" s="9" t="str">
        <f t="shared" si="23"/>
        <v>Autumn</v>
      </c>
      <c r="H227" s="10">
        <f>weather_data!E227-weather_data!D227</f>
        <v>-0.80000000000000071</v>
      </c>
      <c r="I227" s="9">
        <f>IF(OR(weather_data!H227="light rain",weather_data!H227="moderate rain",weather_data!H227="drizzle",weather_data!H227="thunderstorm"),1,0)</f>
        <v>0</v>
      </c>
      <c r="J227" s="9">
        <f>IF(weather_data!I227&gt;=25,1,0)</f>
        <v>0</v>
      </c>
    </row>
    <row r="228" spans="1:10" x14ac:dyDescent="0.25">
      <c r="A228" s="7">
        <f>weather_data!B228</f>
        <v>45989.430555555547</v>
      </c>
      <c r="B228" s="8">
        <f t="shared" si="18"/>
        <v>45989</v>
      </c>
      <c r="C228" s="9" t="str">
        <f t="shared" si="19"/>
        <v>yyyy-11</v>
      </c>
      <c r="D228" s="9">
        <f t="shared" si="20"/>
        <v>11</v>
      </c>
      <c r="E228" s="9" t="str">
        <f t="shared" si="21"/>
        <v>listopad</v>
      </c>
      <c r="F228" s="9" t="str">
        <f t="shared" si="22"/>
        <v>Q4</v>
      </c>
      <c r="G228" s="9" t="str">
        <f t="shared" si="23"/>
        <v>Autumn</v>
      </c>
      <c r="H228" s="10">
        <f>weather_data!E228-weather_data!D228</f>
        <v>-0.90000000000000036</v>
      </c>
      <c r="I228" s="9">
        <f>IF(OR(weather_data!H228="light rain",weather_data!H228="moderate rain",weather_data!H228="drizzle",weather_data!H228="thunderstorm"),1,0)</f>
        <v>0</v>
      </c>
      <c r="J228" s="9">
        <f>IF(weather_data!I228&gt;=25,1,0)</f>
        <v>1</v>
      </c>
    </row>
    <row r="229" spans="1:10" x14ac:dyDescent="0.25">
      <c r="A229" s="7">
        <f>weather_data!B229</f>
        <v>45990.291666666657</v>
      </c>
      <c r="B229" s="8">
        <f t="shared" si="18"/>
        <v>45990</v>
      </c>
      <c r="C229" s="9" t="str">
        <f t="shared" si="19"/>
        <v>yyyy-11</v>
      </c>
      <c r="D229" s="9">
        <f t="shared" si="20"/>
        <v>11</v>
      </c>
      <c r="E229" s="9" t="str">
        <f t="shared" si="21"/>
        <v>listopad</v>
      </c>
      <c r="F229" s="9" t="str">
        <f t="shared" si="22"/>
        <v>Q4</v>
      </c>
      <c r="G229" s="9" t="str">
        <f t="shared" si="23"/>
        <v>Autumn</v>
      </c>
      <c r="H229" s="10">
        <f>weather_data!E229-weather_data!D229</f>
        <v>0.40000000000000036</v>
      </c>
      <c r="I229" s="9">
        <f>IF(OR(weather_data!H229="light rain",weather_data!H229="moderate rain",weather_data!H229="drizzle",weather_data!H229="thunderstorm"),1,0)</f>
        <v>1</v>
      </c>
      <c r="J229" s="9">
        <f>IF(weather_data!I229&gt;=25,1,0)</f>
        <v>0</v>
      </c>
    </row>
    <row r="230" spans="1:10" x14ac:dyDescent="0.25">
      <c r="A230" s="7">
        <f>weather_data!B230</f>
        <v>45991.659722222219</v>
      </c>
      <c r="B230" s="8">
        <f t="shared" si="18"/>
        <v>45991</v>
      </c>
      <c r="C230" s="9" t="str">
        <f t="shared" si="19"/>
        <v>yyyy-11</v>
      </c>
      <c r="D230" s="9">
        <f t="shared" si="20"/>
        <v>11</v>
      </c>
      <c r="E230" s="9" t="str">
        <f t="shared" si="21"/>
        <v>listopad</v>
      </c>
      <c r="F230" s="9" t="str">
        <f t="shared" si="22"/>
        <v>Q4</v>
      </c>
      <c r="G230" s="9" t="str">
        <f t="shared" si="23"/>
        <v>Autumn</v>
      </c>
      <c r="H230" s="10">
        <f>weather_data!E230-weather_data!D230</f>
        <v>1.0999999999999979</v>
      </c>
      <c r="I230" s="9">
        <f>IF(OR(weather_data!H230="light rain",weather_data!H230="moderate rain",weather_data!H230="drizzle",weather_data!H230="thunderstorm"),1,0)</f>
        <v>0</v>
      </c>
      <c r="J230" s="9">
        <f>IF(weather_data!I230&gt;=25,1,0)</f>
        <v>0</v>
      </c>
    </row>
    <row r="231" spans="1:10" x14ac:dyDescent="0.25">
      <c r="A231" s="7">
        <f>weather_data!B231</f>
        <v>45992.451388888891</v>
      </c>
      <c r="B231" s="8">
        <f t="shared" si="18"/>
        <v>45992</v>
      </c>
      <c r="C231" s="9" t="str">
        <f t="shared" si="19"/>
        <v>yyyy-12</v>
      </c>
      <c r="D231" s="9">
        <f t="shared" si="20"/>
        <v>12</v>
      </c>
      <c r="E231" s="9" t="str">
        <f t="shared" si="21"/>
        <v>grudzień</v>
      </c>
      <c r="F231" s="9" t="str">
        <f t="shared" si="22"/>
        <v>Q4</v>
      </c>
      <c r="G231" s="9" t="str">
        <f t="shared" si="23"/>
        <v>Winter</v>
      </c>
      <c r="H231" s="10">
        <f>weather_data!E231-weather_data!D231</f>
        <v>0</v>
      </c>
      <c r="I231" s="9">
        <f>IF(OR(weather_data!H231="light rain",weather_data!H231="moderate rain",weather_data!H231="drizzle",weather_data!H231="thunderstorm"),1,0)</f>
        <v>0</v>
      </c>
      <c r="J231" s="9">
        <f>IF(weather_data!I231&gt;=25,1,0)</f>
        <v>1</v>
      </c>
    </row>
    <row r="232" spans="1:10" x14ac:dyDescent="0.25">
      <c r="A232" s="7">
        <f>weather_data!B232</f>
        <v>45993.875</v>
      </c>
      <c r="B232" s="8">
        <f t="shared" si="18"/>
        <v>45993</v>
      </c>
      <c r="C232" s="9" t="str">
        <f t="shared" si="19"/>
        <v>yyyy-12</v>
      </c>
      <c r="D232" s="9">
        <f t="shared" si="20"/>
        <v>12</v>
      </c>
      <c r="E232" s="9" t="str">
        <f t="shared" si="21"/>
        <v>grudzień</v>
      </c>
      <c r="F232" s="9" t="str">
        <f t="shared" si="22"/>
        <v>Q4</v>
      </c>
      <c r="G232" s="9" t="str">
        <f t="shared" si="23"/>
        <v>Winter</v>
      </c>
      <c r="H232" s="10">
        <f>weather_data!E232-weather_data!D232</f>
        <v>0.19999999999999929</v>
      </c>
      <c r="I232" s="9">
        <f>IF(OR(weather_data!H232="light rain",weather_data!H232="moderate rain",weather_data!H232="drizzle",weather_data!H232="thunderstorm"),1,0)</f>
        <v>0</v>
      </c>
      <c r="J232" s="9">
        <f>IF(weather_data!I232&gt;=25,1,0)</f>
        <v>0</v>
      </c>
    </row>
    <row r="233" spans="1:10" x14ac:dyDescent="0.25">
      <c r="A233" s="7">
        <f>weather_data!B233</f>
        <v>45994.277777777781</v>
      </c>
      <c r="B233" s="8">
        <f t="shared" si="18"/>
        <v>45994</v>
      </c>
      <c r="C233" s="9" t="str">
        <f t="shared" si="19"/>
        <v>yyyy-12</v>
      </c>
      <c r="D233" s="9">
        <f t="shared" si="20"/>
        <v>12</v>
      </c>
      <c r="E233" s="9" t="str">
        <f t="shared" si="21"/>
        <v>grudzień</v>
      </c>
      <c r="F233" s="9" t="str">
        <f t="shared" si="22"/>
        <v>Q4</v>
      </c>
      <c r="G233" s="9" t="str">
        <f t="shared" si="23"/>
        <v>Winter</v>
      </c>
      <c r="H233" s="10">
        <f>weather_data!E233-weather_data!D233</f>
        <v>1.0999999999999996</v>
      </c>
      <c r="I233" s="9">
        <f>IF(OR(weather_data!H233="light rain",weather_data!H233="moderate rain",weather_data!H233="drizzle",weather_data!H233="thunderstorm"),1,0)</f>
        <v>0</v>
      </c>
      <c r="J233" s="9">
        <f>IF(weather_data!I233&gt;=25,1,0)</f>
        <v>0</v>
      </c>
    </row>
    <row r="234" spans="1:10" x14ac:dyDescent="0.25">
      <c r="A234" s="7">
        <f>weather_data!B234</f>
        <v>45995.645833333343</v>
      </c>
      <c r="B234" s="8">
        <f t="shared" si="18"/>
        <v>45995</v>
      </c>
      <c r="C234" s="9" t="str">
        <f t="shared" si="19"/>
        <v>yyyy-12</v>
      </c>
      <c r="D234" s="9">
        <f t="shared" si="20"/>
        <v>12</v>
      </c>
      <c r="E234" s="9" t="str">
        <f t="shared" si="21"/>
        <v>grudzień</v>
      </c>
      <c r="F234" s="9" t="str">
        <f t="shared" si="22"/>
        <v>Q4</v>
      </c>
      <c r="G234" s="9" t="str">
        <f t="shared" si="23"/>
        <v>Winter</v>
      </c>
      <c r="H234" s="10">
        <f>weather_data!E234-weather_data!D234</f>
        <v>0.30000000000000071</v>
      </c>
      <c r="I234" s="9">
        <f>IF(OR(weather_data!H234="light rain",weather_data!H234="moderate rain",weather_data!H234="drizzle",weather_data!H234="thunderstorm"),1,0)</f>
        <v>1</v>
      </c>
      <c r="J234" s="9">
        <f>IF(weather_data!I234&gt;=25,1,0)</f>
        <v>0</v>
      </c>
    </row>
    <row r="235" spans="1:10" x14ac:dyDescent="0.25">
      <c r="A235" s="7">
        <f>weather_data!B235</f>
        <v>45996.895833333343</v>
      </c>
      <c r="B235" s="8">
        <f t="shared" si="18"/>
        <v>45996</v>
      </c>
      <c r="C235" s="9" t="str">
        <f t="shared" si="19"/>
        <v>yyyy-12</v>
      </c>
      <c r="D235" s="9">
        <f t="shared" si="20"/>
        <v>12</v>
      </c>
      <c r="E235" s="9" t="str">
        <f t="shared" si="21"/>
        <v>grudzień</v>
      </c>
      <c r="F235" s="9" t="str">
        <f t="shared" si="22"/>
        <v>Q4</v>
      </c>
      <c r="G235" s="9" t="str">
        <f t="shared" si="23"/>
        <v>Winter</v>
      </c>
      <c r="H235" s="10">
        <f>weather_data!E235-weather_data!D235</f>
        <v>0.5</v>
      </c>
      <c r="I235" s="9">
        <f>IF(OR(weather_data!H235="light rain",weather_data!H235="moderate rain",weather_data!H235="drizzle",weather_data!H235="thunderstorm"),1,0)</f>
        <v>0</v>
      </c>
      <c r="J235" s="9">
        <f>IF(weather_data!I235&gt;=25,1,0)</f>
        <v>0</v>
      </c>
    </row>
    <row r="236" spans="1:10" x14ac:dyDescent="0.25">
      <c r="A236" s="7">
        <f>weather_data!B236</f>
        <v>45997.673611111109</v>
      </c>
      <c r="B236" s="8">
        <f t="shared" si="18"/>
        <v>45997</v>
      </c>
      <c r="C236" s="9" t="str">
        <f t="shared" si="19"/>
        <v>yyyy-12</v>
      </c>
      <c r="D236" s="9">
        <f t="shared" si="20"/>
        <v>12</v>
      </c>
      <c r="E236" s="9" t="str">
        <f t="shared" si="21"/>
        <v>grudzień</v>
      </c>
      <c r="F236" s="9" t="str">
        <f t="shared" si="22"/>
        <v>Q4</v>
      </c>
      <c r="G236" s="9" t="str">
        <f t="shared" si="23"/>
        <v>Winter</v>
      </c>
      <c r="H236" s="10">
        <f>weather_data!E236-weather_data!D236</f>
        <v>0.90000000000000213</v>
      </c>
      <c r="I236" s="9">
        <f>IF(OR(weather_data!H236="light rain",weather_data!H236="moderate rain",weather_data!H236="drizzle",weather_data!H236="thunderstorm"),1,0)</f>
        <v>0</v>
      </c>
      <c r="J236" s="9">
        <f>IF(weather_data!I236&gt;=25,1,0)</f>
        <v>0</v>
      </c>
    </row>
    <row r="237" spans="1:10" x14ac:dyDescent="0.25">
      <c r="A237" s="7">
        <f>weather_data!B237</f>
        <v>45999.305555555547</v>
      </c>
      <c r="B237" s="8">
        <f t="shared" si="18"/>
        <v>45999</v>
      </c>
      <c r="C237" s="9" t="str">
        <f t="shared" si="19"/>
        <v>yyyy-12</v>
      </c>
      <c r="D237" s="9">
        <f t="shared" si="20"/>
        <v>12</v>
      </c>
      <c r="E237" s="9" t="str">
        <f t="shared" si="21"/>
        <v>grudzień</v>
      </c>
      <c r="F237" s="9" t="str">
        <f t="shared" si="22"/>
        <v>Q4</v>
      </c>
      <c r="G237" s="9" t="str">
        <f t="shared" si="23"/>
        <v>Winter</v>
      </c>
      <c r="H237" s="10">
        <f>weather_data!E237-weather_data!D237</f>
        <v>0.20000000000000107</v>
      </c>
      <c r="I237" s="9">
        <f>IF(OR(weather_data!H237="light rain",weather_data!H237="moderate rain",weather_data!H237="drizzle",weather_data!H237="thunderstorm"),1,0)</f>
        <v>0</v>
      </c>
      <c r="J237" s="9">
        <f>IF(weather_data!I237&gt;=25,1,0)</f>
        <v>0</v>
      </c>
    </row>
    <row r="238" spans="1:10" x14ac:dyDescent="0.25">
      <c r="A238" s="7">
        <f>weather_data!B238</f>
        <v>46000.875</v>
      </c>
      <c r="B238" s="8">
        <f t="shared" si="18"/>
        <v>46000</v>
      </c>
      <c r="C238" s="9" t="str">
        <f t="shared" si="19"/>
        <v>yyyy-12</v>
      </c>
      <c r="D238" s="9">
        <f t="shared" si="20"/>
        <v>12</v>
      </c>
      <c r="E238" s="9" t="str">
        <f t="shared" si="21"/>
        <v>grudzień</v>
      </c>
      <c r="F238" s="9" t="str">
        <f t="shared" si="22"/>
        <v>Q4</v>
      </c>
      <c r="G238" s="9" t="str">
        <f t="shared" si="23"/>
        <v>Winter</v>
      </c>
      <c r="H238" s="10">
        <f>weather_data!E238-weather_data!D238</f>
        <v>0.69999999999999929</v>
      </c>
      <c r="I238" s="9">
        <f>IF(OR(weather_data!H238="light rain",weather_data!H238="moderate rain",weather_data!H238="drizzle",weather_data!H238="thunderstorm"),1,0)</f>
        <v>1</v>
      </c>
      <c r="J238" s="9">
        <f>IF(weather_data!I238&gt;=25,1,0)</f>
        <v>0</v>
      </c>
    </row>
    <row r="239" spans="1:10" x14ac:dyDescent="0.25">
      <c r="A239" s="7">
        <f>weather_data!B239</f>
        <v>46001.354166666657</v>
      </c>
      <c r="B239" s="8">
        <f t="shared" si="18"/>
        <v>46001</v>
      </c>
      <c r="C239" s="9" t="str">
        <f t="shared" si="19"/>
        <v>yyyy-12</v>
      </c>
      <c r="D239" s="9">
        <f t="shared" si="20"/>
        <v>12</v>
      </c>
      <c r="E239" s="9" t="str">
        <f t="shared" si="21"/>
        <v>grudzień</v>
      </c>
      <c r="F239" s="9" t="str">
        <f t="shared" si="22"/>
        <v>Q4</v>
      </c>
      <c r="G239" s="9" t="str">
        <f t="shared" si="23"/>
        <v>Winter</v>
      </c>
      <c r="H239" s="10">
        <f>weather_data!E239-weather_data!D239</f>
        <v>-2.1000000000000014</v>
      </c>
      <c r="I239" s="9">
        <f>IF(OR(weather_data!H239="light rain",weather_data!H239="moderate rain",weather_data!H239="drizzle",weather_data!H239="thunderstorm"),1,0)</f>
        <v>1</v>
      </c>
      <c r="J239" s="9">
        <f>IF(weather_data!I239&gt;=25,1,0)</f>
        <v>1</v>
      </c>
    </row>
    <row r="240" spans="1:10" x14ac:dyDescent="0.25">
      <c r="A240" s="7">
        <f>weather_data!B240</f>
        <v>46002.875</v>
      </c>
      <c r="B240" s="8">
        <f t="shared" si="18"/>
        <v>46002</v>
      </c>
      <c r="C240" s="9" t="str">
        <f t="shared" si="19"/>
        <v>yyyy-12</v>
      </c>
      <c r="D240" s="9">
        <f t="shared" si="20"/>
        <v>12</v>
      </c>
      <c r="E240" s="9" t="str">
        <f t="shared" si="21"/>
        <v>grudzień</v>
      </c>
      <c r="F240" s="9" t="str">
        <f t="shared" si="22"/>
        <v>Q4</v>
      </c>
      <c r="G240" s="9" t="str">
        <f t="shared" si="23"/>
        <v>Winter</v>
      </c>
      <c r="H240" s="10">
        <f>weather_data!E240-weather_data!D240</f>
        <v>-0.5</v>
      </c>
      <c r="I240" s="9">
        <f>IF(OR(weather_data!H240="light rain",weather_data!H240="moderate rain",weather_data!H240="drizzle",weather_data!H240="thunderstorm"),1,0)</f>
        <v>0</v>
      </c>
      <c r="J240" s="9">
        <f>IF(weather_data!I240&gt;=25,1,0)</f>
        <v>0</v>
      </c>
    </row>
    <row r="241" spans="1:10" x14ac:dyDescent="0.25">
      <c r="A241" s="7">
        <f>weather_data!B241</f>
        <v>46003.298611111109</v>
      </c>
      <c r="B241" s="8">
        <f t="shared" si="18"/>
        <v>46003</v>
      </c>
      <c r="C241" s="9" t="str">
        <f t="shared" si="19"/>
        <v>yyyy-12</v>
      </c>
      <c r="D241" s="9">
        <f t="shared" si="20"/>
        <v>12</v>
      </c>
      <c r="E241" s="9" t="str">
        <f t="shared" si="21"/>
        <v>grudzień</v>
      </c>
      <c r="F241" s="9" t="str">
        <f t="shared" si="22"/>
        <v>Q4</v>
      </c>
      <c r="G241" s="9" t="str">
        <f t="shared" si="23"/>
        <v>Winter</v>
      </c>
      <c r="H241" s="10">
        <f>weather_data!E241-weather_data!D241</f>
        <v>-0.5</v>
      </c>
      <c r="I241" s="9">
        <f>IF(OR(weather_data!H241="light rain",weather_data!H241="moderate rain",weather_data!H241="drizzle",weather_data!H241="thunderstorm"),1,0)</f>
        <v>0</v>
      </c>
      <c r="J241" s="9">
        <f>IF(weather_data!I241&gt;=25,1,0)</f>
        <v>0</v>
      </c>
    </row>
    <row r="242" spans="1:10" x14ac:dyDescent="0.25">
      <c r="A242" s="7">
        <f>weather_data!B242</f>
        <v>46004.444444444453</v>
      </c>
      <c r="B242" s="8">
        <f t="shared" si="18"/>
        <v>46004</v>
      </c>
      <c r="C242" s="9" t="str">
        <f t="shared" si="19"/>
        <v>yyyy-12</v>
      </c>
      <c r="D242" s="9">
        <f t="shared" si="20"/>
        <v>12</v>
      </c>
      <c r="E242" s="9" t="str">
        <f t="shared" si="21"/>
        <v>grudzień</v>
      </c>
      <c r="F242" s="9" t="str">
        <f t="shared" si="22"/>
        <v>Q4</v>
      </c>
      <c r="G242" s="9" t="str">
        <f t="shared" si="23"/>
        <v>Winter</v>
      </c>
      <c r="H242" s="10">
        <f>weather_data!E242-weather_data!D242</f>
        <v>-1.2999999999999989</v>
      </c>
      <c r="I242" s="9">
        <f>IF(OR(weather_data!H242="light rain",weather_data!H242="moderate rain",weather_data!H242="drizzle",weather_data!H242="thunderstorm"),1,0)</f>
        <v>0</v>
      </c>
      <c r="J242" s="9">
        <f>IF(weather_data!I242&gt;=25,1,0)</f>
        <v>0</v>
      </c>
    </row>
    <row r="243" spans="1:10" x14ac:dyDescent="0.25">
      <c r="A243" s="7">
        <f>weather_data!B243</f>
        <v>46005.625</v>
      </c>
      <c r="B243" s="8">
        <f t="shared" si="18"/>
        <v>46005</v>
      </c>
      <c r="C243" s="9" t="str">
        <f t="shared" si="19"/>
        <v>yyyy-12</v>
      </c>
      <c r="D243" s="9">
        <f t="shared" si="20"/>
        <v>12</v>
      </c>
      <c r="E243" s="9" t="str">
        <f t="shared" si="21"/>
        <v>grudzień</v>
      </c>
      <c r="F243" s="9" t="str">
        <f t="shared" si="22"/>
        <v>Q4</v>
      </c>
      <c r="G243" s="9" t="str">
        <f t="shared" si="23"/>
        <v>Winter</v>
      </c>
      <c r="H243" s="10">
        <f>weather_data!E243-weather_data!D243</f>
        <v>1.0999999999999996</v>
      </c>
      <c r="I243" s="9">
        <f>IF(OR(weather_data!H243="light rain",weather_data!H243="moderate rain",weather_data!H243="drizzle",weather_data!H243="thunderstorm"),1,0)</f>
        <v>0</v>
      </c>
      <c r="J243" s="9">
        <f>IF(weather_data!I243&gt;=25,1,0)</f>
        <v>1</v>
      </c>
    </row>
    <row r="244" spans="1:10" x14ac:dyDescent="0.25">
      <c r="A244" s="7">
        <f>weather_data!B244</f>
        <v>46006.541666666657</v>
      </c>
      <c r="B244" s="8">
        <f t="shared" si="18"/>
        <v>46006</v>
      </c>
      <c r="C244" s="9" t="str">
        <f t="shared" si="19"/>
        <v>yyyy-12</v>
      </c>
      <c r="D244" s="9">
        <f t="shared" si="20"/>
        <v>12</v>
      </c>
      <c r="E244" s="9" t="str">
        <f t="shared" si="21"/>
        <v>grudzień</v>
      </c>
      <c r="F244" s="9" t="str">
        <f t="shared" si="22"/>
        <v>Q4</v>
      </c>
      <c r="G244" s="9" t="str">
        <f t="shared" si="23"/>
        <v>Winter</v>
      </c>
      <c r="H244" s="10">
        <f>weather_data!E244-weather_data!D244</f>
        <v>0.20000000000000107</v>
      </c>
      <c r="I244" s="9">
        <f>IF(OR(weather_data!H244="light rain",weather_data!H244="moderate rain",weather_data!H244="drizzle",weather_data!H244="thunderstorm"),1,0)</f>
        <v>0</v>
      </c>
      <c r="J244" s="9">
        <f>IF(weather_data!I244&gt;=25,1,0)</f>
        <v>0</v>
      </c>
    </row>
    <row r="245" spans="1:10" x14ac:dyDescent="0.25">
      <c r="A245" s="7">
        <f>weather_data!B245</f>
        <v>46007.819444444453</v>
      </c>
      <c r="B245" s="8">
        <f t="shared" si="18"/>
        <v>46007</v>
      </c>
      <c r="C245" s="9" t="str">
        <f t="shared" si="19"/>
        <v>yyyy-12</v>
      </c>
      <c r="D245" s="9">
        <f t="shared" si="20"/>
        <v>12</v>
      </c>
      <c r="E245" s="9" t="str">
        <f t="shared" si="21"/>
        <v>grudzień</v>
      </c>
      <c r="F245" s="9" t="str">
        <f t="shared" si="22"/>
        <v>Q4</v>
      </c>
      <c r="G245" s="9" t="str">
        <f t="shared" si="23"/>
        <v>Winter</v>
      </c>
      <c r="H245" s="10">
        <f>weather_data!E245-weather_data!D245</f>
        <v>0.40000000000000036</v>
      </c>
      <c r="I245" s="9">
        <f>IF(OR(weather_data!H245="light rain",weather_data!H245="moderate rain",weather_data!H245="drizzle",weather_data!H245="thunderstorm"),1,0)</f>
        <v>0</v>
      </c>
      <c r="J245" s="9">
        <f>IF(weather_data!I245&gt;=25,1,0)</f>
        <v>0</v>
      </c>
    </row>
    <row r="246" spans="1:10" x14ac:dyDescent="0.25">
      <c r="A246" s="7">
        <f>weather_data!B246</f>
        <v>46008.569444444453</v>
      </c>
      <c r="B246" s="8">
        <f t="shared" si="18"/>
        <v>46008</v>
      </c>
      <c r="C246" s="9" t="str">
        <f t="shared" si="19"/>
        <v>yyyy-12</v>
      </c>
      <c r="D246" s="9">
        <f t="shared" si="20"/>
        <v>12</v>
      </c>
      <c r="E246" s="9" t="str">
        <f t="shared" si="21"/>
        <v>grudzień</v>
      </c>
      <c r="F246" s="9" t="str">
        <f t="shared" si="22"/>
        <v>Q4</v>
      </c>
      <c r="G246" s="9" t="str">
        <f t="shared" si="23"/>
        <v>Winter</v>
      </c>
      <c r="H246" s="10">
        <f>weather_data!E246-weather_data!D246</f>
        <v>-0.69999999999999929</v>
      </c>
      <c r="I246" s="9">
        <f>IF(OR(weather_data!H246="light rain",weather_data!H246="moderate rain",weather_data!H246="drizzle",weather_data!H246="thunderstorm"),1,0)</f>
        <v>0</v>
      </c>
      <c r="J246" s="9">
        <f>IF(weather_data!I246&gt;=25,1,0)</f>
        <v>0</v>
      </c>
    </row>
    <row r="247" spans="1:10" x14ac:dyDescent="0.25">
      <c r="A247" s="7">
        <f>weather_data!B247</f>
        <v>46009.770833333343</v>
      </c>
      <c r="B247" s="8">
        <f t="shared" si="18"/>
        <v>46009</v>
      </c>
      <c r="C247" s="9" t="str">
        <f t="shared" si="19"/>
        <v>yyyy-12</v>
      </c>
      <c r="D247" s="9">
        <f t="shared" si="20"/>
        <v>12</v>
      </c>
      <c r="E247" s="9" t="str">
        <f t="shared" si="21"/>
        <v>grudzień</v>
      </c>
      <c r="F247" s="9" t="str">
        <f t="shared" si="22"/>
        <v>Q4</v>
      </c>
      <c r="G247" s="9" t="str">
        <f t="shared" si="23"/>
        <v>Winter</v>
      </c>
      <c r="H247" s="10">
        <f>weather_data!E247-weather_data!D247</f>
        <v>0.60000000000000142</v>
      </c>
      <c r="I247" s="9">
        <f>IF(OR(weather_data!H247="light rain",weather_data!H247="moderate rain",weather_data!H247="drizzle",weather_data!H247="thunderstorm"),1,0)</f>
        <v>1</v>
      </c>
      <c r="J247" s="9">
        <f>IF(weather_data!I247&gt;=25,1,0)</f>
        <v>1</v>
      </c>
    </row>
    <row r="248" spans="1:10" x14ac:dyDescent="0.25">
      <c r="A248" s="7">
        <f>weather_data!B248</f>
        <v>46010.847222222219</v>
      </c>
      <c r="B248" s="8">
        <f t="shared" si="18"/>
        <v>46010</v>
      </c>
      <c r="C248" s="9" t="str">
        <f t="shared" si="19"/>
        <v>yyyy-12</v>
      </c>
      <c r="D248" s="9">
        <f t="shared" si="20"/>
        <v>12</v>
      </c>
      <c r="E248" s="9" t="str">
        <f t="shared" si="21"/>
        <v>grudzień</v>
      </c>
      <c r="F248" s="9" t="str">
        <f t="shared" si="22"/>
        <v>Q4</v>
      </c>
      <c r="G248" s="9" t="str">
        <f t="shared" si="23"/>
        <v>Winter</v>
      </c>
      <c r="H248" s="10">
        <f>weather_data!E248-weather_data!D248</f>
        <v>-0.30000000000000071</v>
      </c>
      <c r="I248" s="9">
        <f>IF(OR(weather_data!H248="light rain",weather_data!H248="moderate rain",weather_data!H248="drizzle",weather_data!H248="thunderstorm"),1,0)</f>
        <v>0</v>
      </c>
      <c r="J248" s="9">
        <f>IF(weather_data!I248&gt;=25,1,0)</f>
        <v>0</v>
      </c>
    </row>
    <row r="249" spans="1:10" x14ac:dyDescent="0.25">
      <c r="A249" s="7">
        <f>weather_data!B249</f>
        <v>46011.805555555547</v>
      </c>
      <c r="B249" s="8">
        <f t="shared" si="18"/>
        <v>46011</v>
      </c>
      <c r="C249" s="9" t="str">
        <f t="shared" si="19"/>
        <v>yyyy-12</v>
      </c>
      <c r="D249" s="9">
        <f t="shared" si="20"/>
        <v>12</v>
      </c>
      <c r="E249" s="9" t="str">
        <f t="shared" si="21"/>
        <v>grudzień</v>
      </c>
      <c r="F249" s="9" t="str">
        <f t="shared" si="22"/>
        <v>Q4</v>
      </c>
      <c r="G249" s="9" t="str">
        <f t="shared" si="23"/>
        <v>Winter</v>
      </c>
      <c r="H249" s="10">
        <f>weather_data!E249-weather_data!D249</f>
        <v>0.39999999999999858</v>
      </c>
      <c r="I249" s="9">
        <f>IF(OR(weather_data!H249="light rain",weather_data!H249="moderate rain",weather_data!H249="drizzle",weather_data!H249="thunderstorm"),1,0)</f>
        <v>1</v>
      </c>
      <c r="J249" s="9">
        <f>IF(weather_data!I249&gt;=25,1,0)</f>
        <v>1</v>
      </c>
    </row>
    <row r="250" spans="1:10" x14ac:dyDescent="0.25">
      <c r="A250" s="7">
        <f>weather_data!B250</f>
        <v>46012.319444444453</v>
      </c>
      <c r="B250" s="8">
        <f t="shared" si="18"/>
        <v>46012</v>
      </c>
      <c r="C250" s="9" t="str">
        <f t="shared" si="19"/>
        <v>yyyy-12</v>
      </c>
      <c r="D250" s="9">
        <f t="shared" si="20"/>
        <v>12</v>
      </c>
      <c r="E250" s="9" t="str">
        <f t="shared" si="21"/>
        <v>grudzień</v>
      </c>
      <c r="F250" s="9" t="str">
        <f t="shared" si="22"/>
        <v>Q4</v>
      </c>
      <c r="G250" s="9" t="str">
        <f t="shared" si="23"/>
        <v>Winter</v>
      </c>
      <c r="H250" s="10">
        <f>weather_data!E250-weather_data!D250</f>
        <v>-1.2999999999999989</v>
      </c>
      <c r="I250" s="9">
        <f>IF(OR(weather_data!H250="light rain",weather_data!H250="moderate rain",weather_data!H250="drizzle",weather_data!H250="thunderstorm"),1,0)</f>
        <v>1</v>
      </c>
      <c r="J250" s="9">
        <f>IF(weather_data!I250&gt;=25,1,0)</f>
        <v>1</v>
      </c>
    </row>
    <row r="251" spans="1:10" x14ac:dyDescent="0.25">
      <c r="A251" s="7">
        <f>weather_data!B251</f>
        <v>46013.381944444453</v>
      </c>
      <c r="B251" s="8">
        <f t="shared" si="18"/>
        <v>46013</v>
      </c>
      <c r="C251" s="9" t="str">
        <f t="shared" si="19"/>
        <v>yyyy-12</v>
      </c>
      <c r="D251" s="9">
        <f t="shared" si="20"/>
        <v>12</v>
      </c>
      <c r="E251" s="9" t="str">
        <f t="shared" si="21"/>
        <v>grudzień</v>
      </c>
      <c r="F251" s="9" t="str">
        <f t="shared" si="22"/>
        <v>Q4</v>
      </c>
      <c r="G251" s="9" t="str">
        <f t="shared" si="23"/>
        <v>Winter</v>
      </c>
      <c r="H251" s="10">
        <f>weather_data!E251-weather_data!D251</f>
        <v>1.2000000000000011</v>
      </c>
      <c r="I251" s="9">
        <f>IF(OR(weather_data!H251="light rain",weather_data!H251="moderate rain",weather_data!H251="drizzle",weather_data!H251="thunderstorm"),1,0)</f>
        <v>1</v>
      </c>
      <c r="J251" s="9">
        <f>IF(weather_data!I251&gt;=25,1,0)</f>
        <v>0</v>
      </c>
    </row>
    <row r="252" spans="1:10" x14ac:dyDescent="0.25">
      <c r="A252" s="7">
        <f>weather_data!B252</f>
        <v>46014.513888888891</v>
      </c>
      <c r="B252" s="8">
        <f t="shared" si="18"/>
        <v>46014</v>
      </c>
      <c r="C252" s="9" t="str">
        <f t="shared" si="19"/>
        <v>yyyy-12</v>
      </c>
      <c r="D252" s="9">
        <f t="shared" si="20"/>
        <v>12</v>
      </c>
      <c r="E252" s="9" t="str">
        <f t="shared" si="21"/>
        <v>grudzień</v>
      </c>
      <c r="F252" s="9" t="str">
        <f t="shared" si="22"/>
        <v>Q4</v>
      </c>
      <c r="G252" s="9" t="str">
        <f t="shared" si="23"/>
        <v>Winter</v>
      </c>
      <c r="H252" s="10">
        <f>weather_data!E252-weather_data!D252</f>
        <v>0.59999999999999964</v>
      </c>
      <c r="I252" s="9">
        <f>IF(OR(weather_data!H252="light rain",weather_data!H252="moderate rain",weather_data!H252="drizzle",weather_data!H252="thunderstorm"),1,0)</f>
        <v>0</v>
      </c>
      <c r="J252" s="9">
        <f>IF(weather_data!I252&gt;=25,1,0)</f>
        <v>0</v>
      </c>
    </row>
    <row r="253" spans="1:10" x14ac:dyDescent="0.25">
      <c r="A253" s="7">
        <f>weather_data!B253</f>
        <v>46015.340277777781</v>
      </c>
      <c r="B253" s="8">
        <f t="shared" si="18"/>
        <v>46015</v>
      </c>
      <c r="C253" s="9" t="str">
        <f t="shared" si="19"/>
        <v>yyyy-12</v>
      </c>
      <c r="D253" s="9">
        <f t="shared" si="20"/>
        <v>12</v>
      </c>
      <c r="E253" s="9" t="str">
        <f t="shared" si="21"/>
        <v>grudzień</v>
      </c>
      <c r="F253" s="9" t="str">
        <f t="shared" si="22"/>
        <v>Q4</v>
      </c>
      <c r="G253" s="9" t="str">
        <f t="shared" si="23"/>
        <v>Winter</v>
      </c>
      <c r="H253" s="10">
        <f>weather_data!E253-weather_data!D253</f>
        <v>-0.30000000000000071</v>
      </c>
      <c r="I253" s="9">
        <f>IF(OR(weather_data!H253="light rain",weather_data!H253="moderate rain",weather_data!H253="drizzle",weather_data!H253="thunderstorm"),1,0)</f>
        <v>0</v>
      </c>
      <c r="J253" s="9">
        <f>IF(weather_data!I253&gt;=25,1,0)</f>
        <v>0</v>
      </c>
    </row>
    <row r="254" spans="1:10" x14ac:dyDescent="0.25">
      <c r="A254" s="7">
        <f>weather_data!B254</f>
        <v>46016.548611111109</v>
      </c>
      <c r="B254" s="8">
        <f t="shared" si="18"/>
        <v>46016</v>
      </c>
      <c r="C254" s="9" t="str">
        <f t="shared" si="19"/>
        <v>yyyy-12</v>
      </c>
      <c r="D254" s="9">
        <f t="shared" si="20"/>
        <v>12</v>
      </c>
      <c r="E254" s="9" t="str">
        <f t="shared" si="21"/>
        <v>grudzień</v>
      </c>
      <c r="F254" s="9" t="str">
        <f t="shared" si="22"/>
        <v>Q4</v>
      </c>
      <c r="G254" s="9" t="str">
        <f t="shared" si="23"/>
        <v>Winter</v>
      </c>
      <c r="H254" s="10">
        <f>weather_data!E254-weather_data!D254</f>
        <v>-1.4000000000000004</v>
      </c>
      <c r="I254" s="9">
        <f>IF(OR(weather_data!H254="light rain",weather_data!H254="moderate rain",weather_data!H254="drizzle",weather_data!H254="thunderstorm"),1,0)</f>
        <v>0</v>
      </c>
      <c r="J254" s="9">
        <f>IF(weather_data!I254&gt;=25,1,0)</f>
        <v>0</v>
      </c>
    </row>
    <row r="255" spans="1:10" x14ac:dyDescent="0.25">
      <c r="A255" s="7">
        <f>weather_data!B255</f>
        <v>46017.340277777781</v>
      </c>
      <c r="B255" s="8">
        <f t="shared" si="18"/>
        <v>46017</v>
      </c>
      <c r="C255" s="9" t="str">
        <f t="shared" si="19"/>
        <v>yyyy-12</v>
      </c>
      <c r="D255" s="9">
        <f t="shared" si="20"/>
        <v>12</v>
      </c>
      <c r="E255" s="9" t="str">
        <f t="shared" si="21"/>
        <v>grudzień</v>
      </c>
      <c r="F255" s="9" t="str">
        <f t="shared" si="22"/>
        <v>Q4</v>
      </c>
      <c r="G255" s="9" t="str">
        <f t="shared" si="23"/>
        <v>Winter</v>
      </c>
      <c r="H255" s="10">
        <f>weather_data!E255-weather_data!D255</f>
        <v>-0.59999999999999964</v>
      </c>
      <c r="I255" s="9">
        <f>IF(OR(weather_data!H255="light rain",weather_data!H255="moderate rain",weather_data!H255="drizzle",weather_data!H255="thunderstorm"),1,0)</f>
        <v>1</v>
      </c>
      <c r="J255" s="9">
        <f>IF(weather_data!I255&gt;=25,1,0)</f>
        <v>0</v>
      </c>
    </row>
    <row r="256" spans="1:10" x14ac:dyDescent="0.25">
      <c r="A256" s="7">
        <f>weather_data!B256</f>
        <v>46018.270833333343</v>
      </c>
      <c r="B256" s="8">
        <f t="shared" si="18"/>
        <v>46018</v>
      </c>
      <c r="C256" s="9" t="str">
        <f t="shared" si="19"/>
        <v>yyyy-12</v>
      </c>
      <c r="D256" s="9">
        <f t="shared" si="20"/>
        <v>12</v>
      </c>
      <c r="E256" s="9" t="str">
        <f t="shared" si="21"/>
        <v>grudzień</v>
      </c>
      <c r="F256" s="9" t="str">
        <f t="shared" si="22"/>
        <v>Q4</v>
      </c>
      <c r="G256" s="9" t="str">
        <f t="shared" si="23"/>
        <v>Winter</v>
      </c>
      <c r="H256" s="10">
        <f>weather_data!E256-weather_data!D256</f>
        <v>-0.69999999999999929</v>
      </c>
      <c r="I256" s="9">
        <f>IF(OR(weather_data!H256="light rain",weather_data!H256="moderate rain",weather_data!H256="drizzle",weather_data!H256="thunderstorm"),1,0)</f>
        <v>1</v>
      </c>
      <c r="J256" s="9">
        <f>IF(weather_data!I256&gt;=25,1,0)</f>
        <v>0</v>
      </c>
    </row>
    <row r="257" spans="1:10" x14ac:dyDescent="0.25">
      <c r="A257" s="7">
        <f>weather_data!B257</f>
        <v>46019.868055555547</v>
      </c>
      <c r="B257" s="8">
        <f t="shared" si="18"/>
        <v>46019</v>
      </c>
      <c r="C257" s="9" t="str">
        <f t="shared" si="19"/>
        <v>yyyy-12</v>
      </c>
      <c r="D257" s="9">
        <f t="shared" si="20"/>
        <v>12</v>
      </c>
      <c r="E257" s="9" t="str">
        <f t="shared" si="21"/>
        <v>grudzień</v>
      </c>
      <c r="F257" s="9" t="str">
        <f t="shared" si="22"/>
        <v>Q4</v>
      </c>
      <c r="G257" s="9" t="str">
        <f t="shared" si="23"/>
        <v>Winter</v>
      </c>
      <c r="H257" s="10">
        <f>weather_data!E257-weather_data!D257</f>
        <v>0.89999999999999858</v>
      </c>
      <c r="I257" s="9">
        <f>IF(OR(weather_data!H257="light rain",weather_data!H257="moderate rain",weather_data!H257="drizzle",weather_data!H257="thunderstorm"),1,0)</f>
        <v>1</v>
      </c>
      <c r="J257" s="9">
        <f>IF(weather_data!I257&gt;=25,1,0)</f>
        <v>0</v>
      </c>
    </row>
    <row r="258" spans="1:10" x14ac:dyDescent="0.25">
      <c r="A258" s="7">
        <f>weather_data!B258</f>
        <v>46020.888888888891</v>
      </c>
      <c r="B258" s="8">
        <f t="shared" ref="B258:B321" si="24">INT(A258)</f>
        <v>46020</v>
      </c>
      <c r="C258" s="9" t="str">
        <f t="shared" ref="C258:C321" si="25">TEXT(B258,"yyyy-mm")</f>
        <v>yyyy-12</v>
      </c>
      <c r="D258" s="9">
        <f t="shared" ref="D258:D321" si="26">MONTH(B258)</f>
        <v>12</v>
      </c>
      <c r="E258" s="9" t="str">
        <f t="shared" ref="E258:E321" si="27">TEXT(B258,"mmmm")</f>
        <v>grudzień</v>
      </c>
      <c r="F258" s="9" t="str">
        <f t="shared" ref="F258:F321" si="28">"Q"&amp;ROUNDUP(D258/3,0)</f>
        <v>Q4</v>
      </c>
      <c r="G258" s="9" t="str">
        <f t="shared" ref="G258:G321" si="29">IF(OR(D258=12,D258&lt;=2),"Winter",IF(D258&lt;=5,"Spring",IF(D258&lt;=8,"Summer","Autumn")))</f>
        <v>Winter</v>
      </c>
      <c r="H258" s="10">
        <f>weather_data!E258-weather_data!D258</f>
        <v>1.2000000000000011</v>
      </c>
      <c r="I258" s="9">
        <f>IF(OR(weather_data!H258="light rain",weather_data!H258="moderate rain",weather_data!H258="drizzle",weather_data!H258="thunderstorm"),1,0)</f>
        <v>0</v>
      </c>
      <c r="J258" s="9">
        <f>IF(weather_data!I258&gt;=25,1,0)</f>
        <v>0</v>
      </c>
    </row>
    <row r="259" spans="1:10" x14ac:dyDescent="0.25">
      <c r="A259" s="7">
        <f>weather_data!B259</f>
        <v>46021.298611111109</v>
      </c>
      <c r="B259" s="8">
        <f t="shared" si="24"/>
        <v>46021</v>
      </c>
      <c r="C259" s="9" t="str">
        <f t="shared" si="25"/>
        <v>yyyy-12</v>
      </c>
      <c r="D259" s="9">
        <f t="shared" si="26"/>
        <v>12</v>
      </c>
      <c r="E259" s="9" t="str">
        <f t="shared" si="27"/>
        <v>grudzień</v>
      </c>
      <c r="F259" s="9" t="str">
        <f t="shared" si="28"/>
        <v>Q4</v>
      </c>
      <c r="G259" s="9" t="str">
        <f t="shared" si="29"/>
        <v>Winter</v>
      </c>
      <c r="H259" s="10">
        <f>weather_data!E259-weather_data!D259</f>
        <v>-0.40000000000000036</v>
      </c>
      <c r="I259" s="9">
        <f>IF(OR(weather_data!H259="light rain",weather_data!H259="moderate rain",weather_data!H259="drizzle",weather_data!H259="thunderstorm"),1,0)</f>
        <v>0</v>
      </c>
      <c r="J259" s="9">
        <f>IF(weather_data!I259&gt;=25,1,0)</f>
        <v>0</v>
      </c>
    </row>
    <row r="260" spans="1:10" x14ac:dyDescent="0.25">
      <c r="A260" s="7">
        <f>weather_data!B260</f>
        <v>46022.659722222219</v>
      </c>
      <c r="B260" s="8">
        <f t="shared" si="24"/>
        <v>46022</v>
      </c>
      <c r="C260" s="9" t="str">
        <f t="shared" si="25"/>
        <v>yyyy-12</v>
      </c>
      <c r="D260" s="9">
        <f t="shared" si="26"/>
        <v>12</v>
      </c>
      <c r="E260" s="9" t="str">
        <f t="shared" si="27"/>
        <v>grudzień</v>
      </c>
      <c r="F260" s="9" t="str">
        <f t="shared" si="28"/>
        <v>Q4</v>
      </c>
      <c r="G260" s="9" t="str">
        <f t="shared" si="29"/>
        <v>Winter</v>
      </c>
      <c r="H260" s="10">
        <f>weather_data!E260-weather_data!D260</f>
        <v>0.29999999999999893</v>
      </c>
      <c r="I260" s="9">
        <f>IF(OR(weather_data!H260="light rain",weather_data!H260="moderate rain",weather_data!H260="drizzle",weather_data!H260="thunderstorm"),1,0)</f>
        <v>0</v>
      </c>
      <c r="J260" s="9">
        <f>IF(weather_data!I260&gt;=25,1,0)</f>
        <v>0</v>
      </c>
    </row>
    <row r="261" spans="1:10" x14ac:dyDescent="0.25">
      <c r="A261" s="7">
        <f>weather_data!B261</f>
        <v>46023.659722222219</v>
      </c>
      <c r="B261" s="8">
        <f t="shared" si="24"/>
        <v>46023</v>
      </c>
      <c r="C261" s="9" t="str">
        <f t="shared" si="25"/>
        <v>yyyy-01</v>
      </c>
      <c r="D261" s="9">
        <f t="shared" si="26"/>
        <v>1</v>
      </c>
      <c r="E261" s="9" t="str">
        <f t="shared" si="27"/>
        <v>styczeń</v>
      </c>
      <c r="F261" s="9" t="str">
        <f t="shared" si="28"/>
        <v>Q1</v>
      </c>
      <c r="G261" s="9" t="str">
        <f t="shared" si="29"/>
        <v>Winter</v>
      </c>
      <c r="H261" s="10">
        <f>weather_data!E261-weather_data!D261</f>
        <v>0.40000000000000036</v>
      </c>
      <c r="I261" s="9">
        <f>IF(OR(weather_data!H261="light rain",weather_data!H261="moderate rain",weather_data!H261="drizzle",weather_data!H261="thunderstorm"),1,0)</f>
        <v>1</v>
      </c>
      <c r="J261" s="9">
        <f>IF(weather_data!I261&gt;=25,1,0)</f>
        <v>1</v>
      </c>
    </row>
    <row r="262" spans="1:10" x14ac:dyDescent="0.25">
      <c r="A262" s="7">
        <f>weather_data!B262</f>
        <v>46024.833333333343</v>
      </c>
      <c r="B262" s="8">
        <f t="shared" si="24"/>
        <v>46024</v>
      </c>
      <c r="C262" s="9" t="str">
        <f t="shared" si="25"/>
        <v>yyyy-01</v>
      </c>
      <c r="D262" s="9">
        <f t="shared" si="26"/>
        <v>1</v>
      </c>
      <c r="E262" s="9" t="str">
        <f t="shared" si="27"/>
        <v>styczeń</v>
      </c>
      <c r="F262" s="9" t="str">
        <f t="shared" si="28"/>
        <v>Q1</v>
      </c>
      <c r="G262" s="9" t="str">
        <f t="shared" si="29"/>
        <v>Winter</v>
      </c>
      <c r="H262" s="10">
        <f>weather_data!E262-weather_data!D262</f>
        <v>1</v>
      </c>
      <c r="I262" s="9">
        <f>IF(OR(weather_data!H262="light rain",weather_data!H262="moderate rain",weather_data!H262="drizzle",weather_data!H262="thunderstorm"),1,0)</f>
        <v>1</v>
      </c>
      <c r="J262" s="9">
        <f>IF(weather_data!I262&gt;=25,1,0)</f>
        <v>0</v>
      </c>
    </row>
    <row r="263" spans="1:10" x14ac:dyDescent="0.25">
      <c r="A263" s="7">
        <f>weather_data!B263</f>
        <v>46025.555555555547</v>
      </c>
      <c r="B263" s="8">
        <f t="shared" si="24"/>
        <v>46025</v>
      </c>
      <c r="C263" s="9" t="str">
        <f t="shared" si="25"/>
        <v>yyyy-01</v>
      </c>
      <c r="D263" s="9">
        <f t="shared" si="26"/>
        <v>1</v>
      </c>
      <c r="E263" s="9" t="str">
        <f t="shared" si="27"/>
        <v>styczeń</v>
      </c>
      <c r="F263" s="9" t="str">
        <f t="shared" si="28"/>
        <v>Q1</v>
      </c>
      <c r="G263" s="9" t="str">
        <f t="shared" si="29"/>
        <v>Winter</v>
      </c>
      <c r="H263" s="10">
        <f>weather_data!E263-weather_data!D263</f>
        <v>-0.70000000000000018</v>
      </c>
      <c r="I263" s="9">
        <f>IF(OR(weather_data!H263="light rain",weather_data!H263="moderate rain",weather_data!H263="drizzle",weather_data!H263="thunderstorm"),1,0)</f>
        <v>0</v>
      </c>
      <c r="J263" s="9">
        <f>IF(weather_data!I263&gt;=25,1,0)</f>
        <v>0</v>
      </c>
    </row>
    <row r="264" spans="1:10" x14ac:dyDescent="0.25">
      <c r="A264" s="7">
        <f>weather_data!B264</f>
        <v>46026.520833333343</v>
      </c>
      <c r="B264" s="8">
        <f t="shared" si="24"/>
        <v>46026</v>
      </c>
      <c r="C264" s="9" t="str">
        <f t="shared" si="25"/>
        <v>yyyy-01</v>
      </c>
      <c r="D264" s="9">
        <f t="shared" si="26"/>
        <v>1</v>
      </c>
      <c r="E264" s="9" t="str">
        <f t="shared" si="27"/>
        <v>styczeń</v>
      </c>
      <c r="F264" s="9" t="str">
        <f t="shared" si="28"/>
        <v>Q1</v>
      </c>
      <c r="G264" s="9" t="str">
        <f t="shared" si="29"/>
        <v>Winter</v>
      </c>
      <c r="H264" s="10">
        <f>weather_data!E264-weather_data!D264</f>
        <v>0.5</v>
      </c>
      <c r="I264" s="9">
        <f>IF(OR(weather_data!H264="light rain",weather_data!H264="moderate rain",weather_data!H264="drizzle",weather_data!H264="thunderstorm"),1,0)</f>
        <v>0</v>
      </c>
      <c r="J264" s="9">
        <f>IF(weather_data!I264&gt;=25,1,0)</f>
        <v>0</v>
      </c>
    </row>
    <row r="265" spans="1:10" x14ac:dyDescent="0.25">
      <c r="A265" s="7">
        <f>weather_data!B265</f>
        <v>46027.402777777781</v>
      </c>
      <c r="B265" s="8">
        <f t="shared" si="24"/>
        <v>46027</v>
      </c>
      <c r="C265" s="9" t="str">
        <f t="shared" si="25"/>
        <v>yyyy-01</v>
      </c>
      <c r="D265" s="9">
        <f t="shared" si="26"/>
        <v>1</v>
      </c>
      <c r="E265" s="9" t="str">
        <f t="shared" si="27"/>
        <v>styczeń</v>
      </c>
      <c r="F265" s="9" t="str">
        <f t="shared" si="28"/>
        <v>Q1</v>
      </c>
      <c r="G265" s="9" t="str">
        <f t="shared" si="29"/>
        <v>Winter</v>
      </c>
      <c r="H265" s="10">
        <f>weather_data!E265-weather_data!D265</f>
        <v>-0.90000000000000036</v>
      </c>
      <c r="I265" s="9">
        <f>IF(OR(weather_data!H265="light rain",weather_data!H265="moderate rain",weather_data!H265="drizzle",weather_data!H265="thunderstorm"),1,0)</f>
        <v>0</v>
      </c>
      <c r="J265" s="9">
        <f>IF(weather_data!I265&gt;=25,1,0)</f>
        <v>0</v>
      </c>
    </row>
    <row r="266" spans="1:10" x14ac:dyDescent="0.25">
      <c r="A266" s="7">
        <f>weather_data!B266</f>
        <v>46028.576388888891</v>
      </c>
      <c r="B266" s="8">
        <f t="shared" si="24"/>
        <v>46028</v>
      </c>
      <c r="C266" s="9" t="str">
        <f t="shared" si="25"/>
        <v>yyyy-01</v>
      </c>
      <c r="D266" s="9">
        <f t="shared" si="26"/>
        <v>1</v>
      </c>
      <c r="E266" s="9" t="str">
        <f t="shared" si="27"/>
        <v>styczeń</v>
      </c>
      <c r="F266" s="9" t="str">
        <f t="shared" si="28"/>
        <v>Q1</v>
      </c>
      <c r="G266" s="9" t="str">
        <f t="shared" si="29"/>
        <v>Winter</v>
      </c>
      <c r="H266" s="10">
        <f>weather_data!E266-weather_data!D266</f>
        <v>-1.5999999999999996</v>
      </c>
      <c r="I266" s="9">
        <f>IF(OR(weather_data!H266="light rain",weather_data!H266="moderate rain",weather_data!H266="drizzle",weather_data!H266="thunderstorm"),1,0)</f>
        <v>0</v>
      </c>
      <c r="J266" s="9">
        <f>IF(weather_data!I266&gt;=25,1,0)</f>
        <v>1</v>
      </c>
    </row>
    <row r="267" spans="1:10" x14ac:dyDescent="0.25">
      <c r="A267" s="7">
        <f>weather_data!B267</f>
        <v>46029.430555555547</v>
      </c>
      <c r="B267" s="8">
        <f t="shared" si="24"/>
        <v>46029</v>
      </c>
      <c r="C267" s="9" t="str">
        <f t="shared" si="25"/>
        <v>yyyy-01</v>
      </c>
      <c r="D267" s="9">
        <f t="shared" si="26"/>
        <v>1</v>
      </c>
      <c r="E267" s="9" t="str">
        <f t="shared" si="27"/>
        <v>styczeń</v>
      </c>
      <c r="F267" s="9" t="str">
        <f t="shared" si="28"/>
        <v>Q1</v>
      </c>
      <c r="G267" s="9" t="str">
        <f t="shared" si="29"/>
        <v>Winter</v>
      </c>
      <c r="H267" s="10">
        <f>weather_data!E267-weather_data!D267</f>
        <v>-1.3000000000000007</v>
      </c>
      <c r="I267" s="9">
        <f>IF(OR(weather_data!H267="light rain",weather_data!H267="moderate rain",weather_data!H267="drizzle",weather_data!H267="thunderstorm"),1,0)</f>
        <v>0</v>
      </c>
      <c r="J267" s="9">
        <f>IF(weather_data!I267&gt;=25,1,0)</f>
        <v>1</v>
      </c>
    </row>
    <row r="268" spans="1:10" x14ac:dyDescent="0.25">
      <c r="A268" s="7">
        <f>weather_data!B268</f>
        <v>46030.416666666657</v>
      </c>
      <c r="B268" s="8">
        <f t="shared" si="24"/>
        <v>46030</v>
      </c>
      <c r="C268" s="9" t="str">
        <f t="shared" si="25"/>
        <v>yyyy-01</v>
      </c>
      <c r="D268" s="9">
        <f t="shared" si="26"/>
        <v>1</v>
      </c>
      <c r="E268" s="9" t="str">
        <f t="shared" si="27"/>
        <v>styczeń</v>
      </c>
      <c r="F268" s="9" t="str">
        <f t="shared" si="28"/>
        <v>Q1</v>
      </c>
      <c r="G268" s="9" t="str">
        <f t="shared" si="29"/>
        <v>Winter</v>
      </c>
      <c r="H268" s="10">
        <f>weather_data!E268-weather_data!D268</f>
        <v>-1.0000000000000009</v>
      </c>
      <c r="I268" s="9">
        <f>IF(OR(weather_data!H268="light rain",weather_data!H268="moderate rain",weather_data!H268="drizzle",weather_data!H268="thunderstorm"),1,0)</f>
        <v>0</v>
      </c>
      <c r="J268" s="9">
        <f>IF(weather_data!I268&gt;=25,1,0)</f>
        <v>0</v>
      </c>
    </row>
    <row r="269" spans="1:10" x14ac:dyDescent="0.25">
      <c r="A269" s="7">
        <f>weather_data!B269</f>
        <v>46031.298611111109</v>
      </c>
      <c r="B269" s="8">
        <f t="shared" si="24"/>
        <v>46031</v>
      </c>
      <c r="C269" s="9" t="str">
        <f t="shared" si="25"/>
        <v>yyyy-01</v>
      </c>
      <c r="D269" s="9">
        <f t="shared" si="26"/>
        <v>1</v>
      </c>
      <c r="E269" s="9" t="str">
        <f t="shared" si="27"/>
        <v>styczeń</v>
      </c>
      <c r="F269" s="9" t="str">
        <f t="shared" si="28"/>
        <v>Q1</v>
      </c>
      <c r="G269" s="9" t="str">
        <f t="shared" si="29"/>
        <v>Winter</v>
      </c>
      <c r="H269" s="10">
        <f>weather_data!E269-weather_data!D269</f>
        <v>-0.30000000000000071</v>
      </c>
      <c r="I269" s="9">
        <f>IF(OR(weather_data!H269="light rain",weather_data!H269="moderate rain",weather_data!H269="drizzle",weather_data!H269="thunderstorm"),1,0)</f>
        <v>0</v>
      </c>
      <c r="J269" s="9">
        <f>IF(weather_data!I269&gt;=25,1,0)</f>
        <v>0</v>
      </c>
    </row>
    <row r="270" spans="1:10" x14ac:dyDescent="0.25">
      <c r="A270" s="7">
        <f>weather_data!B270</f>
        <v>46032.652777777781</v>
      </c>
      <c r="B270" s="8">
        <f t="shared" si="24"/>
        <v>46032</v>
      </c>
      <c r="C270" s="9" t="str">
        <f t="shared" si="25"/>
        <v>yyyy-01</v>
      </c>
      <c r="D270" s="9">
        <f t="shared" si="26"/>
        <v>1</v>
      </c>
      <c r="E270" s="9" t="str">
        <f t="shared" si="27"/>
        <v>styczeń</v>
      </c>
      <c r="F270" s="9" t="str">
        <f t="shared" si="28"/>
        <v>Q1</v>
      </c>
      <c r="G270" s="9" t="str">
        <f t="shared" si="29"/>
        <v>Winter</v>
      </c>
      <c r="H270" s="10">
        <f>weather_data!E270-weather_data!D270</f>
        <v>-0.90000000000000036</v>
      </c>
      <c r="I270" s="9">
        <f>IF(OR(weather_data!H270="light rain",weather_data!H270="moderate rain",weather_data!H270="drizzle",weather_data!H270="thunderstorm"),1,0)</f>
        <v>1</v>
      </c>
      <c r="J270" s="9">
        <f>IF(weather_data!I270&gt;=25,1,0)</f>
        <v>0</v>
      </c>
    </row>
    <row r="271" spans="1:10" x14ac:dyDescent="0.25">
      <c r="A271" s="7">
        <f>weather_data!B271</f>
        <v>46033.645833333343</v>
      </c>
      <c r="B271" s="8">
        <f t="shared" si="24"/>
        <v>46033</v>
      </c>
      <c r="C271" s="9" t="str">
        <f t="shared" si="25"/>
        <v>yyyy-01</v>
      </c>
      <c r="D271" s="9">
        <f t="shared" si="26"/>
        <v>1</v>
      </c>
      <c r="E271" s="9" t="str">
        <f t="shared" si="27"/>
        <v>styczeń</v>
      </c>
      <c r="F271" s="9" t="str">
        <f t="shared" si="28"/>
        <v>Q1</v>
      </c>
      <c r="G271" s="9" t="str">
        <f t="shared" si="29"/>
        <v>Winter</v>
      </c>
      <c r="H271" s="10">
        <f>weather_data!E271-weather_data!D271</f>
        <v>0</v>
      </c>
      <c r="I271" s="9">
        <f>IF(OR(weather_data!H271="light rain",weather_data!H271="moderate rain",weather_data!H271="drizzle",weather_data!H271="thunderstorm"),1,0)</f>
        <v>0</v>
      </c>
      <c r="J271" s="9">
        <f>IF(weather_data!I271&gt;=25,1,0)</f>
        <v>0</v>
      </c>
    </row>
    <row r="272" spans="1:10" x14ac:dyDescent="0.25">
      <c r="A272" s="7">
        <f>weather_data!B272</f>
        <v>46034.395833333343</v>
      </c>
      <c r="B272" s="8">
        <f t="shared" si="24"/>
        <v>46034</v>
      </c>
      <c r="C272" s="9" t="str">
        <f t="shared" si="25"/>
        <v>yyyy-01</v>
      </c>
      <c r="D272" s="9">
        <f t="shared" si="26"/>
        <v>1</v>
      </c>
      <c r="E272" s="9" t="str">
        <f t="shared" si="27"/>
        <v>styczeń</v>
      </c>
      <c r="F272" s="9" t="str">
        <f t="shared" si="28"/>
        <v>Q1</v>
      </c>
      <c r="G272" s="9" t="str">
        <f t="shared" si="29"/>
        <v>Winter</v>
      </c>
      <c r="H272" s="10">
        <f>weather_data!E272-weather_data!D272</f>
        <v>-1.5999999999999996</v>
      </c>
      <c r="I272" s="9">
        <f>IF(OR(weather_data!H272="light rain",weather_data!H272="moderate rain",weather_data!H272="drizzle",weather_data!H272="thunderstorm"),1,0)</f>
        <v>0</v>
      </c>
      <c r="J272" s="9">
        <f>IF(weather_data!I272&gt;=25,1,0)</f>
        <v>0</v>
      </c>
    </row>
    <row r="273" spans="1:10" x14ac:dyDescent="0.25">
      <c r="A273" s="7">
        <f>weather_data!B273</f>
        <v>46035.659722222219</v>
      </c>
      <c r="B273" s="8">
        <f t="shared" si="24"/>
        <v>46035</v>
      </c>
      <c r="C273" s="9" t="str">
        <f t="shared" si="25"/>
        <v>yyyy-01</v>
      </c>
      <c r="D273" s="9">
        <f t="shared" si="26"/>
        <v>1</v>
      </c>
      <c r="E273" s="9" t="str">
        <f t="shared" si="27"/>
        <v>styczeń</v>
      </c>
      <c r="F273" s="9" t="str">
        <f t="shared" si="28"/>
        <v>Q1</v>
      </c>
      <c r="G273" s="9" t="str">
        <f t="shared" si="29"/>
        <v>Winter</v>
      </c>
      <c r="H273" s="10">
        <f>weather_data!E273-weather_data!D273</f>
        <v>-1</v>
      </c>
      <c r="I273" s="9">
        <f>IF(OR(weather_data!H273="light rain",weather_data!H273="moderate rain",weather_data!H273="drizzle",weather_data!H273="thunderstorm"),1,0)</f>
        <v>0</v>
      </c>
      <c r="J273" s="9">
        <f>IF(weather_data!I273&gt;=25,1,0)</f>
        <v>1</v>
      </c>
    </row>
    <row r="274" spans="1:10" x14ac:dyDescent="0.25">
      <c r="A274" s="7">
        <f>weather_data!B274</f>
        <v>46036.763888888891</v>
      </c>
      <c r="B274" s="8">
        <f t="shared" si="24"/>
        <v>46036</v>
      </c>
      <c r="C274" s="9" t="str">
        <f t="shared" si="25"/>
        <v>yyyy-01</v>
      </c>
      <c r="D274" s="9">
        <f t="shared" si="26"/>
        <v>1</v>
      </c>
      <c r="E274" s="9" t="str">
        <f t="shared" si="27"/>
        <v>styczeń</v>
      </c>
      <c r="F274" s="9" t="str">
        <f t="shared" si="28"/>
        <v>Q1</v>
      </c>
      <c r="G274" s="9" t="str">
        <f t="shared" si="29"/>
        <v>Winter</v>
      </c>
      <c r="H274" s="10">
        <f>weather_data!E274-weather_data!D274</f>
        <v>-0.70000000000000107</v>
      </c>
      <c r="I274" s="9">
        <f>IF(OR(weather_data!H274="light rain",weather_data!H274="moderate rain",weather_data!H274="drizzle",weather_data!H274="thunderstorm"),1,0)</f>
        <v>0</v>
      </c>
      <c r="J274" s="9">
        <f>IF(weather_data!I274&gt;=25,1,0)</f>
        <v>0</v>
      </c>
    </row>
    <row r="275" spans="1:10" x14ac:dyDescent="0.25">
      <c r="A275" s="7">
        <f>weather_data!B275</f>
        <v>46037.895833333343</v>
      </c>
      <c r="B275" s="8">
        <f t="shared" si="24"/>
        <v>46037</v>
      </c>
      <c r="C275" s="9" t="str">
        <f t="shared" si="25"/>
        <v>yyyy-01</v>
      </c>
      <c r="D275" s="9">
        <f t="shared" si="26"/>
        <v>1</v>
      </c>
      <c r="E275" s="9" t="str">
        <f t="shared" si="27"/>
        <v>styczeń</v>
      </c>
      <c r="F275" s="9" t="str">
        <f t="shared" si="28"/>
        <v>Q1</v>
      </c>
      <c r="G275" s="9" t="str">
        <f t="shared" si="29"/>
        <v>Winter</v>
      </c>
      <c r="H275" s="10">
        <f>weather_data!E275-weather_data!D275</f>
        <v>9.9999999999999645E-2</v>
      </c>
      <c r="I275" s="9">
        <f>IF(OR(weather_data!H275="light rain",weather_data!H275="moderate rain",weather_data!H275="drizzle",weather_data!H275="thunderstorm"),1,0)</f>
        <v>0</v>
      </c>
      <c r="J275" s="9">
        <f>IF(weather_data!I275&gt;=25,1,0)</f>
        <v>0</v>
      </c>
    </row>
    <row r="276" spans="1:10" x14ac:dyDescent="0.25">
      <c r="A276" s="7">
        <f>weather_data!B276</f>
        <v>46038.361111111109</v>
      </c>
      <c r="B276" s="8">
        <f t="shared" si="24"/>
        <v>46038</v>
      </c>
      <c r="C276" s="9" t="str">
        <f t="shared" si="25"/>
        <v>yyyy-01</v>
      </c>
      <c r="D276" s="9">
        <f t="shared" si="26"/>
        <v>1</v>
      </c>
      <c r="E276" s="9" t="str">
        <f t="shared" si="27"/>
        <v>styczeń</v>
      </c>
      <c r="F276" s="9" t="str">
        <f t="shared" si="28"/>
        <v>Q1</v>
      </c>
      <c r="G276" s="9" t="str">
        <f t="shared" si="29"/>
        <v>Winter</v>
      </c>
      <c r="H276" s="10">
        <f>weather_data!E276-weather_data!D276</f>
        <v>-2</v>
      </c>
      <c r="I276" s="9">
        <f>IF(OR(weather_data!H276="light rain",weather_data!H276="moderate rain",weather_data!H276="drizzle",weather_data!H276="thunderstorm"),1,0)</f>
        <v>1</v>
      </c>
      <c r="J276" s="9">
        <f>IF(weather_data!I276&gt;=25,1,0)</f>
        <v>0</v>
      </c>
    </row>
    <row r="277" spans="1:10" x14ac:dyDescent="0.25">
      <c r="A277" s="7">
        <f>weather_data!B277</f>
        <v>46039.3125</v>
      </c>
      <c r="B277" s="8">
        <f t="shared" si="24"/>
        <v>46039</v>
      </c>
      <c r="C277" s="9" t="str">
        <f t="shared" si="25"/>
        <v>yyyy-01</v>
      </c>
      <c r="D277" s="9">
        <f t="shared" si="26"/>
        <v>1</v>
      </c>
      <c r="E277" s="9" t="str">
        <f t="shared" si="27"/>
        <v>styczeń</v>
      </c>
      <c r="F277" s="9" t="str">
        <f t="shared" si="28"/>
        <v>Q1</v>
      </c>
      <c r="G277" s="9" t="str">
        <f t="shared" si="29"/>
        <v>Winter</v>
      </c>
      <c r="H277" s="10">
        <f>weather_data!E277-weather_data!D277</f>
        <v>-1.2999999999999989</v>
      </c>
      <c r="I277" s="9">
        <f>IF(OR(weather_data!H277="light rain",weather_data!H277="moderate rain",weather_data!H277="drizzle",weather_data!H277="thunderstorm"),1,0)</f>
        <v>1</v>
      </c>
      <c r="J277" s="9">
        <f>IF(weather_data!I277&gt;=25,1,0)</f>
        <v>0</v>
      </c>
    </row>
    <row r="278" spans="1:10" x14ac:dyDescent="0.25">
      <c r="A278" s="7">
        <f>weather_data!B278</f>
        <v>46040.694444444453</v>
      </c>
      <c r="B278" s="8">
        <f t="shared" si="24"/>
        <v>46040</v>
      </c>
      <c r="C278" s="9" t="str">
        <f t="shared" si="25"/>
        <v>yyyy-01</v>
      </c>
      <c r="D278" s="9">
        <f t="shared" si="26"/>
        <v>1</v>
      </c>
      <c r="E278" s="9" t="str">
        <f t="shared" si="27"/>
        <v>styczeń</v>
      </c>
      <c r="F278" s="9" t="str">
        <f t="shared" si="28"/>
        <v>Q1</v>
      </c>
      <c r="G278" s="9" t="str">
        <f t="shared" si="29"/>
        <v>Winter</v>
      </c>
      <c r="H278" s="10">
        <f>weather_data!E278-weather_data!D278</f>
        <v>-0.19999999999999929</v>
      </c>
      <c r="I278" s="9">
        <f>IF(OR(weather_data!H278="light rain",weather_data!H278="moderate rain",weather_data!H278="drizzle",weather_data!H278="thunderstorm"),1,0)</f>
        <v>0</v>
      </c>
      <c r="J278" s="9">
        <f>IF(weather_data!I278&gt;=25,1,0)</f>
        <v>0</v>
      </c>
    </row>
    <row r="279" spans="1:10" x14ac:dyDescent="0.25">
      <c r="A279" s="7">
        <f>weather_data!B279</f>
        <v>46041.583333333343</v>
      </c>
      <c r="B279" s="8">
        <f t="shared" si="24"/>
        <v>46041</v>
      </c>
      <c r="C279" s="9" t="str">
        <f t="shared" si="25"/>
        <v>yyyy-01</v>
      </c>
      <c r="D279" s="9">
        <f t="shared" si="26"/>
        <v>1</v>
      </c>
      <c r="E279" s="9" t="str">
        <f t="shared" si="27"/>
        <v>styczeń</v>
      </c>
      <c r="F279" s="9" t="str">
        <f t="shared" si="28"/>
        <v>Q1</v>
      </c>
      <c r="G279" s="9" t="str">
        <f t="shared" si="29"/>
        <v>Winter</v>
      </c>
      <c r="H279" s="10">
        <f>weather_data!E279-weather_data!D279</f>
        <v>-0.80000000000000071</v>
      </c>
      <c r="I279" s="9">
        <f>IF(OR(weather_data!H279="light rain",weather_data!H279="moderate rain",weather_data!H279="drizzle",weather_data!H279="thunderstorm"),1,0)</f>
        <v>1</v>
      </c>
      <c r="J279" s="9">
        <f>IF(weather_data!I279&gt;=25,1,0)</f>
        <v>1</v>
      </c>
    </row>
    <row r="280" spans="1:10" x14ac:dyDescent="0.25">
      <c r="A280" s="7">
        <f>weather_data!B280</f>
        <v>46042.340277777781</v>
      </c>
      <c r="B280" s="8">
        <f t="shared" si="24"/>
        <v>46042</v>
      </c>
      <c r="C280" s="9" t="str">
        <f t="shared" si="25"/>
        <v>yyyy-01</v>
      </c>
      <c r="D280" s="9">
        <f t="shared" si="26"/>
        <v>1</v>
      </c>
      <c r="E280" s="9" t="str">
        <f t="shared" si="27"/>
        <v>styczeń</v>
      </c>
      <c r="F280" s="9" t="str">
        <f t="shared" si="28"/>
        <v>Q1</v>
      </c>
      <c r="G280" s="9" t="str">
        <f t="shared" si="29"/>
        <v>Winter</v>
      </c>
      <c r="H280" s="10">
        <f>weather_data!E280-weather_data!D280</f>
        <v>1</v>
      </c>
      <c r="I280" s="9">
        <f>IF(OR(weather_data!H280="light rain",weather_data!H280="moderate rain",weather_data!H280="drizzle",weather_data!H280="thunderstorm"),1,0)</f>
        <v>0</v>
      </c>
      <c r="J280" s="9">
        <f>IF(weather_data!I280&gt;=25,1,0)</f>
        <v>1</v>
      </c>
    </row>
    <row r="281" spans="1:10" x14ac:dyDescent="0.25">
      <c r="A281" s="7">
        <f>weather_data!B281</f>
        <v>46043.284722222219</v>
      </c>
      <c r="B281" s="8">
        <f t="shared" si="24"/>
        <v>46043</v>
      </c>
      <c r="C281" s="9" t="str">
        <f t="shared" si="25"/>
        <v>yyyy-01</v>
      </c>
      <c r="D281" s="9">
        <f t="shared" si="26"/>
        <v>1</v>
      </c>
      <c r="E281" s="9" t="str">
        <f t="shared" si="27"/>
        <v>styczeń</v>
      </c>
      <c r="F281" s="9" t="str">
        <f t="shared" si="28"/>
        <v>Q1</v>
      </c>
      <c r="G281" s="9" t="str">
        <f t="shared" si="29"/>
        <v>Winter</v>
      </c>
      <c r="H281" s="10">
        <f>weather_data!E281-weather_data!D281</f>
        <v>-0.40000000000000036</v>
      </c>
      <c r="I281" s="9">
        <f>IF(OR(weather_data!H281="light rain",weather_data!H281="moderate rain",weather_data!H281="drizzle",weather_data!H281="thunderstorm"),1,0)</f>
        <v>1</v>
      </c>
      <c r="J281" s="9">
        <f>IF(weather_data!I281&gt;=25,1,0)</f>
        <v>0</v>
      </c>
    </row>
    <row r="282" spans="1:10" x14ac:dyDescent="0.25">
      <c r="A282" s="7">
        <f>weather_data!B282</f>
        <v>46044.611111111109</v>
      </c>
      <c r="B282" s="8">
        <f t="shared" si="24"/>
        <v>46044</v>
      </c>
      <c r="C282" s="9" t="str">
        <f t="shared" si="25"/>
        <v>yyyy-01</v>
      </c>
      <c r="D282" s="9">
        <f t="shared" si="26"/>
        <v>1</v>
      </c>
      <c r="E282" s="9" t="str">
        <f t="shared" si="27"/>
        <v>styczeń</v>
      </c>
      <c r="F282" s="9" t="str">
        <f t="shared" si="28"/>
        <v>Q1</v>
      </c>
      <c r="G282" s="9" t="str">
        <f t="shared" si="29"/>
        <v>Winter</v>
      </c>
      <c r="H282" s="10">
        <f>weather_data!E282-weather_data!D282</f>
        <v>9.9999999999999645E-2</v>
      </c>
      <c r="I282" s="9">
        <f>IF(OR(weather_data!H282="light rain",weather_data!H282="moderate rain",weather_data!H282="drizzle",weather_data!H282="thunderstorm"),1,0)</f>
        <v>0</v>
      </c>
      <c r="J282" s="9">
        <f>IF(weather_data!I282&gt;=25,1,0)</f>
        <v>0</v>
      </c>
    </row>
    <row r="283" spans="1:10" x14ac:dyDescent="0.25">
      <c r="A283" s="7">
        <f>weather_data!B283</f>
        <v>46045.298611111109</v>
      </c>
      <c r="B283" s="8">
        <f t="shared" si="24"/>
        <v>46045</v>
      </c>
      <c r="C283" s="9" t="str">
        <f t="shared" si="25"/>
        <v>yyyy-01</v>
      </c>
      <c r="D283" s="9">
        <f t="shared" si="26"/>
        <v>1</v>
      </c>
      <c r="E283" s="9" t="str">
        <f t="shared" si="27"/>
        <v>styczeń</v>
      </c>
      <c r="F283" s="9" t="str">
        <f t="shared" si="28"/>
        <v>Q1</v>
      </c>
      <c r="G283" s="9" t="str">
        <f t="shared" si="29"/>
        <v>Winter</v>
      </c>
      <c r="H283" s="10">
        <f>weather_data!E283-weather_data!D283</f>
        <v>-2.4000000000000004</v>
      </c>
      <c r="I283" s="9">
        <f>IF(OR(weather_data!H283="light rain",weather_data!H283="moderate rain",weather_data!H283="drizzle",weather_data!H283="thunderstorm"),1,0)</f>
        <v>1</v>
      </c>
      <c r="J283" s="9">
        <f>IF(weather_data!I283&gt;=25,1,0)</f>
        <v>1</v>
      </c>
    </row>
    <row r="284" spans="1:10" x14ac:dyDescent="0.25">
      <c r="A284" s="7">
        <f>weather_data!B284</f>
        <v>46046.902777777781</v>
      </c>
      <c r="B284" s="8">
        <f t="shared" si="24"/>
        <v>46046</v>
      </c>
      <c r="C284" s="9" t="str">
        <f t="shared" si="25"/>
        <v>yyyy-01</v>
      </c>
      <c r="D284" s="9">
        <f t="shared" si="26"/>
        <v>1</v>
      </c>
      <c r="E284" s="9" t="str">
        <f t="shared" si="27"/>
        <v>styczeń</v>
      </c>
      <c r="F284" s="9" t="str">
        <f t="shared" si="28"/>
        <v>Q1</v>
      </c>
      <c r="G284" s="9" t="str">
        <f t="shared" si="29"/>
        <v>Winter</v>
      </c>
      <c r="H284" s="10">
        <f>weather_data!E284-weather_data!D284</f>
        <v>0.29999999999999893</v>
      </c>
      <c r="I284" s="9">
        <f>IF(OR(weather_data!H284="light rain",weather_data!H284="moderate rain",weather_data!H284="drizzle",weather_data!H284="thunderstorm"),1,0)</f>
        <v>0</v>
      </c>
      <c r="J284" s="9">
        <f>IF(weather_data!I284&gt;=25,1,0)</f>
        <v>0</v>
      </c>
    </row>
    <row r="285" spans="1:10" x14ac:dyDescent="0.25">
      <c r="A285" s="7">
        <f>weather_data!B285</f>
        <v>46047.847222222219</v>
      </c>
      <c r="B285" s="8">
        <f t="shared" si="24"/>
        <v>46047</v>
      </c>
      <c r="C285" s="9" t="str">
        <f t="shared" si="25"/>
        <v>yyyy-01</v>
      </c>
      <c r="D285" s="9">
        <f t="shared" si="26"/>
        <v>1</v>
      </c>
      <c r="E285" s="9" t="str">
        <f t="shared" si="27"/>
        <v>styczeń</v>
      </c>
      <c r="F285" s="9" t="str">
        <f t="shared" si="28"/>
        <v>Q1</v>
      </c>
      <c r="G285" s="9" t="str">
        <f t="shared" si="29"/>
        <v>Winter</v>
      </c>
      <c r="H285" s="10">
        <f>weather_data!E285-weather_data!D285</f>
        <v>-0.69999999999999929</v>
      </c>
      <c r="I285" s="9">
        <f>IF(OR(weather_data!H285="light rain",weather_data!H285="moderate rain",weather_data!H285="drizzle",weather_data!H285="thunderstorm"),1,0)</f>
        <v>0</v>
      </c>
      <c r="J285" s="9">
        <f>IF(weather_data!I285&gt;=25,1,0)</f>
        <v>0</v>
      </c>
    </row>
    <row r="286" spans="1:10" x14ac:dyDescent="0.25">
      <c r="A286" s="7">
        <f>weather_data!B286</f>
        <v>46048.486111111109</v>
      </c>
      <c r="B286" s="8">
        <f t="shared" si="24"/>
        <v>46048</v>
      </c>
      <c r="C286" s="9" t="str">
        <f t="shared" si="25"/>
        <v>yyyy-01</v>
      </c>
      <c r="D286" s="9">
        <f t="shared" si="26"/>
        <v>1</v>
      </c>
      <c r="E286" s="9" t="str">
        <f t="shared" si="27"/>
        <v>styczeń</v>
      </c>
      <c r="F286" s="9" t="str">
        <f t="shared" si="28"/>
        <v>Q1</v>
      </c>
      <c r="G286" s="9" t="str">
        <f t="shared" si="29"/>
        <v>Winter</v>
      </c>
      <c r="H286" s="10">
        <f>weather_data!E286-weather_data!D286</f>
        <v>-1.9000000000000004</v>
      </c>
      <c r="I286" s="9">
        <f>IF(OR(weather_data!H286="light rain",weather_data!H286="moderate rain",weather_data!H286="drizzle",weather_data!H286="thunderstorm"),1,0)</f>
        <v>0</v>
      </c>
      <c r="J286" s="9">
        <f>IF(weather_data!I286&gt;=25,1,0)</f>
        <v>0</v>
      </c>
    </row>
    <row r="287" spans="1:10" x14ac:dyDescent="0.25">
      <c r="A287" s="7">
        <f>weather_data!B287</f>
        <v>46049.826388888891</v>
      </c>
      <c r="B287" s="8">
        <f t="shared" si="24"/>
        <v>46049</v>
      </c>
      <c r="C287" s="9" t="str">
        <f t="shared" si="25"/>
        <v>yyyy-01</v>
      </c>
      <c r="D287" s="9">
        <f t="shared" si="26"/>
        <v>1</v>
      </c>
      <c r="E287" s="9" t="str">
        <f t="shared" si="27"/>
        <v>styczeń</v>
      </c>
      <c r="F287" s="9" t="str">
        <f t="shared" si="28"/>
        <v>Q1</v>
      </c>
      <c r="G287" s="9" t="str">
        <f t="shared" si="29"/>
        <v>Winter</v>
      </c>
      <c r="H287" s="10">
        <f>weather_data!E287-weather_data!D287</f>
        <v>1.0999999999999996</v>
      </c>
      <c r="I287" s="9">
        <f>IF(OR(weather_data!H287="light rain",weather_data!H287="moderate rain",weather_data!H287="drizzle",weather_data!H287="thunderstorm"),1,0)</f>
        <v>0</v>
      </c>
      <c r="J287" s="9">
        <f>IF(weather_data!I287&gt;=25,1,0)</f>
        <v>0</v>
      </c>
    </row>
    <row r="288" spans="1:10" x14ac:dyDescent="0.25">
      <c r="A288" s="7">
        <f>weather_data!B288</f>
        <v>46050.875</v>
      </c>
      <c r="B288" s="8">
        <f t="shared" si="24"/>
        <v>46050</v>
      </c>
      <c r="C288" s="9" t="str">
        <f t="shared" si="25"/>
        <v>yyyy-01</v>
      </c>
      <c r="D288" s="9">
        <f t="shared" si="26"/>
        <v>1</v>
      </c>
      <c r="E288" s="9" t="str">
        <f t="shared" si="27"/>
        <v>styczeń</v>
      </c>
      <c r="F288" s="9" t="str">
        <f t="shared" si="28"/>
        <v>Q1</v>
      </c>
      <c r="G288" s="9" t="str">
        <f t="shared" si="29"/>
        <v>Winter</v>
      </c>
      <c r="H288" s="10">
        <f>weather_data!E288-weather_data!D288</f>
        <v>0.19999999999999929</v>
      </c>
      <c r="I288" s="9">
        <f>IF(OR(weather_data!H288="light rain",weather_data!H288="moderate rain",weather_data!H288="drizzle",weather_data!H288="thunderstorm"),1,0)</f>
        <v>0</v>
      </c>
      <c r="J288" s="9">
        <f>IF(weather_data!I288&gt;=25,1,0)</f>
        <v>0</v>
      </c>
    </row>
    <row r="289" spans="1:10" x14ac:dyDescent="0.25">
      <c r="A289" s="7">
        <f>weather_data!B289</f>
        <v>46051.888888888891</v>
      </c>
      <c r="B289" s="8">
        <f t="shared" si="24"/>
        <v>46051</v>
      </c>
      <c r="C289" s="9" t="str">
        <f t="shared" si="25"/>
        <v>yyyy-01</v>
      </c>
      <c r="D289" s="9">
        <f t="shared" si="26"/>
        <v>1</v>
      </c>
      <c r="E289" s="9" t="str">
        <f t="shared" si="27"/>
        <v>styczeń</v>
      </c>
      <c r="F289" s="9" t="str">
        <f t="shared" si="28"/>
        <v>Q1</v>
      </c>
      <c r="G289" s="9" t="str">
        <f t="shared" si="29"/>
        <v>Winter</v>
      </c>
      <c r="H289" s="10">
        <f>weather_data!E289-weather_data!D289</f>
        <v>0.59999999999999964</v>
      </c>
      <c r="I289" s="9">
        <f>IF(OR(weather_data!H289="light rain",weather_data!H289="moderate rain",weather_data!H289="drizzle",weather_data!H289="thunderstorm"),1,0)</f>
        <v>0</v>
      </c>
      <c r="J289" s="9">
        <f>IF(weather_data!I289&gt;=25,1,0)</f>
        <v>0</v>
      </c>
    </row>
    <row r="290" spans="1:10" x14ac:dyDescent="0.25">
      <c r="A290" s="7">
        <f>weather_data!B290</f>
        <v>46052.805555555547</v>
      </c>
      <c r="B290" s="8">
        <f t="shared" si="24"/>
        <v>46052</v>
      </c>
      <c r="C290" s="9" t="str">
        <f t="shared" si="25"/>
        <v>yyyy-01</v>
      </c>
      <c r="D290" s="9">
        <f t="shared" si="26"/>
        <v>1</v>
      </c>
      <c r="E290" s="9" t="str">
        <f t="shared" si="27"/>
        <v>styczeń</v>
      </c>
      <c r="F290" s="9" t="str">
        <f t="shared" si="28"/>
        <v>Q1</v>
      </c>
      <c r="G290" s="9" t="str">
        <f t="shared" si="29"/>
        <v>Winter</v>
      </c>
      <c r="H290" s="10">
        <f>weather_data!E290-weather_data!D290</f>
        <v>-0.59999999999999964</v>
      </c>
      <c r="I290" s="9">
        <f>IF(OR(weather_data!H290="light rain",weather_data!H290="moderate rain",weather_data!H290="drizzle",weather_data!H290="thunderstorm"),1,0)</f>
        <v>0</v>
      </c>
      <c r="J290" s="9">
        <f>IF(weather_data!I290&gt;=25,1,0)</f>
        <v>0</v>
      </c>
    </row>
    <row r="291" spans="1:10" x14ac:dyDescent="0.25">
      <c r="A291" s="7">
        <f>weather_data!B291</f>
        <v>46053.701388888891</v>
      </c>
      <c r="B291" s="8">
        <f t="shared" si="24"/>
        <v>46053</v>
      </c>
      <c r="C291" s="9" t="str">
        <f t="shared" si="25"/>
        <v>yyyy-01</v>
      </c>
      <c r="D291" s="9">
        <f t="shared" si="26"/>
        <v>1</v>
      </c>
      <c r="E291" s="9" t="str">
        <f t="shared" si="27"/>
        <v>styczeń</v>
      </c>
      <c r="F291" s="9" t="str">
        <f t="shared" si="28"/>
        <v>Q1</v>
      </c>
      <c r="G291" s="9" t="str">
        <f t="shared" si="29"/>
        <v>Winter</v>
      </c>
      <c r="H291" s="10">
        <f>weather_data!E291-weather_data!D291</f>
        <v>-1.8000000000000007</v>
      </c>
      <c r="I291" s="9">
        <f>IF(OR(weather_data!H291="light rain",weather_data!H291="moderate rain",weather_data!H291="drizzle",weather_data!H291="thunderstorm"),1,0)</f>
        <v>0</v>
      </c>
      <c r="J291" s="9">
        <f>IF(weather_data!I291&gt;=25,1,0)</f>
        <v>0</v>
      </c>
    </row>
    <row r="292" spans="1:10" x14ac:dyDescent="0.25">
      <c r="A292" s="7">
        <f>weather_data!B292</f>
        <v>46054.381944444453</v>
      </c>
      <c r="B292" s="8">
        <f t="shared" si="24"/>
        <v>46054</v>
      </c>
      <c r="C292" s="9" t="str">
        <f t="shared" si="25"/>
        <v>yyyy-02</v>
      </c>
      <c r="D292" s="9">
        <f t="shared" si="26"/>
        <v>2</v>
      </c>
      <c r="E292" s="9" t="str">
        <f t="shared" si="27"/>
        <v>luty</v>
      </c>
      <c r="F292" s="9" t="str">
        <f t="shared" si="28"/>
        <v>Q1</v>
      </c>
      <c r="G292" s="9" t="str">
        <f t="shared" si="29"/>
        <v>Winter</v>
      </c>
      <c r="H292" s="10">
        <f>weather_data!E292-weather_data!D292</f>
        <v>-1</v>
      </c>
      <c r="I292" s="9">
        <f>IF(OR(weather_data!H292="light rain",weather_data!H292="moderate rain",weather_data!H292="drizzle",weather_data!H292="thunderstorm"),1,0)</f>
        <v>0</v>
      </c>
      <c r="J292" s="9">
        <f>IF(weather_data!I292&gt;=25,1,0)</f>
        <v>0</v>
      </c>
    </row>
    <row r="293" spans="1:10" x14ac:dyDescent="0.25">
      <c r="A293" s="7">
        <f>weather_data!B293</f>
        <v>46055.6875</v>
      </c>
      <c r="B293" s="8">
        <f t="shared" si="24"/>
        <v>46055</v>
      </c>
      <c r="C293" s="9" t="str">
        <f t="shared" si="25"/>
        <v>yyyy-02</v>
      </c>
      <c r="D293" s="9">
        <f t="shared" si="26"/>
        <v>2</v>
      </c>
      <c r="E293" s="9" t="str">
        <f t="shared" si="27"/>
        <v>luty</v>
      </c>
      <c r="F293" s="9" t="str">
        <f t="shared" si="28"/>
        <v>Q1</v>
      </c>
      <c r="G293" s="9" t="str">
        <f t="shared" si="29"/>
        <v>Winter</v>
      </c>
      <c r="H293" s="10">
        <f>weather_data!E293-weather_data!D293</f>
        <v>0.80000000000000071</v>
      </c>
      <c r="I293" s="9">
        <f>IF(OR(weather_data!H293="light rain",weather_data!H293="moderate rain",weather_data!H293="drizzle",weather_data!H293="thunderstorm"),1,0)</f>
        <v>0</v>
      </c>
      <c r="J293" s="9">
        <f>IF(weather_data!I293&gt;=25,1,0)</f>
        <v>0</v>
      </c>
    </row>
    <row r="294" spans="1:10" x14ac:dyDescent="0.25">
      <c r="A294" s="7">
        <f>weather_data!B294</f>
        <v>46056.888888888891</v>
      </c>
      <c r="B294" s="8">
        <f t="shared" si="24"/>
        <v>46056</v>
      </c>
      <c r="C294" s="9" t="str">
        <f t="shared" si="25"/>
        <v>yyyy-02</v>
      </c>
      <c r="D294" s="9">
        <f t="shared" si="26"/>
        <v>2</v>
      </c>
      <c r="E294" s="9" t="str">
        <f t="shared" si="27"/>
        <v>luty</v>
      </c>
      <c r="F294" s="9" t="str">
        <f t="shared" si="28"/>
        <v>Q1</v>
      </c>
      <c r="G294" s="9" t="str">
        <f t="shared" si="29"/>
        <v>Winter</v>
      </c>
      <c r="H294" s="10">
        <f>weather_data!E294-weather_data!D294</f>
        <v>-0.40000000000000036</v>
      </c>
      <c r="I294" s="9">
        <f>IF(OR(weather_data!H294="light rain",weather_data!H294="moderate rain",weather_data!H294="drizzle",weather_data!H294="thunderstorm"),1,0)</f>
        <v>0</v>
      </c>
      <c r="J294" s="9">
        <f>IF(weather_data!I294&gt;=25,1,0)</f>
        <v>0</v>
      </c>
    </row>
    <row r="295" spans="1:10" x14ac:dyDescent="0.25">
      <c r="A295" s="7">
        <f>weather_data!B295</f>
        <v>46057.777777777781</v>
      </c>
      <c r="B295" s="8">
        <f t="shared" si="24"/>
        <v>46057</v>
      </c>
      <c r="C295" s="9" t="str">
        <f t="shared" si="25"/>
        <v>yyyy-02</v>
      </c>
      <c r="D295" s="9">
        <f t="shared" si="26"/>
        <v>2</v>
      </c>
      <c r="E295" s="9" t="str">
        <f t="shared" si="27"/>
        <v>luty</v>
      </c>
      <c r="F295" s="9" t="str">
        <f t="shared" si="28"/>
        <v>Q1</v>
      </c>
      <c r="G295" s="9" t="str">
        <f t="shared" si="29"/>
        <v>Winter</v>
      </c>
      <c r="H295" s="10">
        <f>weather_data!E295-weather_data!D295</f>
        <v>-0.5</v>
      </c>
      <c r="I295" s="9">
        <f>IF(OR(weather_data!H295="light rain",weather_data!H295="moderate rain",weather_data!H295="drizzle",weather_data!H295="thunderstorm"),1,0)</f>
        <v>0</v>
      </c>
      <c r="J295" s="9">
        <f>IF(weather_data!I295&gt;=25,1,0)</f>
        <v>0</v>
      </c>
    </row>
    <row r="296" spans="1:10" x14ac:dyDescent="0.25">
      <c r="A296" s="7">
        <f>weather_data!B296</f>
        <v>46058.3125</v>
      </c>
      <c r="B296" s="8">
        <f t="shared" si="24"/>
        <v>46058</v>
      </c>
      <c r="C296" s="9" t="str">
        <f t="shared" si="25"/>
        <v>yyyy-02</v>
      </c>
      <c r="D296" s="9">
        <f t="shared" si="26"/>
        <v>2</v>
      </c>
      <c r="E296" s="9" t="str">
        <f t="shared" si="27"/>
        <v>luty</v>
      </c>
      <c r="F296" s="9" t="str">
        <f t="shared" si="28"/>
        <v>Q1</v>
      </c>
      <c r="G296" s="9" t="str">
        <f t="shared" si="29"/>
        <v>Winter</v>
      </c>
      <c r="H296" s="10">
        <f>weather_data!E296-weather_data!D296</f>
        <v>-1.8999999999999995</v>
      </c>
      <c r="I296" s="9">
        <f>IF(OR(weather_data!H296="light rain",weather_data!H296="moderate rain",weather_data!H296="drizzle",weather_data!H296="thunderstorm"),1,0)</f>
        <v>0</v>
      </c>
      <c r="J296" s="9">
        <f>IF(weather_data!I296&gt;=25,1,0)</f>
        <v>0</v>
      </c>
    </row>
    <row r="297" spans="1:10" x14ac:dyDescent="0.25">
      <c r="A297" s="7">
        <f>weather_data!B297</f>
        <v>46059.347222222219</v>
      </c>
      <c r="B297" s="8">
        <f t="shared" si="24"/>
        <v>46059</v>
      </c>
      <c r="C297" s="9" t="str">
        <f t="shared" si="25"/>
        <v>yyyy-02</v>
      </c>
      <c r="D297" s="9">
        <f t="shared" si="26"/>
        <v>2</v>
      </c>
      <c r="E297" s="9" t="str">
        <f t="shared" si="27"/>
        <v>luty</v>
      </c>
      <c r="F297" s="9" t="str">
        <f t="shared" si="28"/>
        <v>Q1</v>
      </c>
      <c r="G297" s="9" t="str">
        <f t="shared" si="29"/>
        <v>Winter</v>
      </c>
      <c r="H297" s="10">
        <f>weather_data!E297-weather_data!D297</f>
        <v>-1.9000000000000004</v>
      </c>
      <c r="I297" s="9">
        <f>IF(OR(weather_data!H297="light rain",weather_data!H297="moderate rain",weather_data!H297="drizzle",weather_data!H297="thunderstorm"),1,0)</f>
        <v>0</v>
      </c>
      <c r="J297" s="9">
        <f>IF(weather_data!I297&gt;=25,1,0)</f>
        <v>0</v>
      </c>
    </row>
    <row r="298" spans="1:10" x14ac:dyDescent="0.25">
      <c r="A298" s="7">
        <f>weather_data!B298</f>
        <v>46060.597222222219</v>
      </c>
      <c r="B298" s="8">
        <f t="shared" si="24"/>
        <v>46060</v>
      </c>
      <c r="C298" s="9" t="str">
        <f t="shared" si="25"/>
        <v>yyyy-02</v>
      </c>
      <c r="D298" s="9">
        <f t="shared" si="26"/>
        <v>2</v>
      </c>
      <c r="E298" s="9" t="str">
        <f t="shared" si="27"/>
        <v>luty</v>
      </c>
      <c r="F298" s="9" t="str">
        <f t="shared" si="28"/>
        <v>Q1</v>
      </c>
      <c r="G298" s="9" t="str">
        <f t="shared" si="29"/>
        <v>Winter</v>
      </c>
      <c r="H298" s="10">
        <f>weather_data!E298-weather_data!D298</f>
        <v>-1.1000000000000014</v>
      </c>
      <c r="I298" s="9">
        <f>IF(OR(weather_data!H298="light rain",weather_data!H298="moderate rain",weather_data!H298="drizzle",weather_data!H298="thunderstorm"),1,0)</f>
        <v>0</v>
      </c>
      <c r="J298" s="9">
        <f>IF(weather_data!I298&gt;=25,1,0)</f>
        <v>1</v>
      </c>
    </row>
    <row r="299" spans="1:10" x14ac:dyDescent="0.25">
      <c r="A299" s="7">
        <f>weather_data!B299</f>
        <v>46061.395833333343</v>
      </c>
      <c r="B299" s="8">
        <f t="shared" si="24"/>
        <v>46061</v>
      </c>
      <c r="C299" s="9" t="str">
        <f t="shared" si="25"/>
        <v>yyyy-02</v>
      </c>
      <c r="D299" s="9">
        <f t="shared" si="26"/>
        <v>2</v>
      </c>
      <c r="E299" s="9" t="str">
        <f t="shared" si="27"/>
        <v>luty</v>
      </c>
      <c r="F299" s="9" t="str">
        <f t="shared" si="28"/>
        <v>Q1</v>
      </c>
      <c r="G299" s="9" t="str">
        <f t="shared" si="29"/>
        <v>Winter</v>
      </c>
      <c r="H299" s="10">
        <f>weather_data!E299-weather_data!D299</f>
        <v>-1.0999999999999996</v>
      </c>
      <c r="I299" s="9">
        <f>IF(OR(weather_data!H299="light rain",weather_data!H299="moderate rain",weather_data!H299="drizzle",weather_data!H299="thunderstorm"),1,0)</f>
        <v>1</v>
      </c>
      <c r="J299" s="9">
        <f>IF(weather_data!I299&gt;=25,1,0)</f>
        <v>0</v>
      </c>
    </row>
    <row r="300" spans="1:10" x14ac:dyDescent="0.25">
      <c r="A300" s="7">
        <f>weather_data!B300</f>
        <v>46062.284722222219</v>
      </c>
      <c r="B300" s="8">
        <f t="shared" si="24"/>
        <v>46062</v>
      </c>
      <c r="C300" s="9" t="str">
        <f t="shared" si="25"/>
        <v>yyyy-02</v>
      </c>
      <c r="D300" s="9">
        <f t="shared" si="26"/>
        <v>2</v>
      </c>
      <c r="E300" s="9" t="str">
        <f t="shared" si="27"/>
        <v>luty</v>
      </c>
      <c r="F300" s="9" t="str">
        <f t="shared" si="28"/>
        <v>Q1</v>
      </c>
      <c r="G300" s="9" t="str">
        <f t="shared" si="29"/>
        <v>Winter</v>
      </c>
      <c r="H300" s="10">
        <f>weather_data!E300-weather_data!D300</f>
        <v>-1</v>
      </c>
      <c r="I300" s="9">
        <f>IF(OR(weather_data!H300="light rain",weather_data!H300="moderate rain",weather_data!H300="drizzle",weather_data!H300="thunderstorm"),1,0)</f>
        <v>0</v>
      </c>
      <c r="J300" s="9">
        <f>IF(weather_data!I300&gt;=25,1,0)</f>
        <v>0</v>
      </c>
    </row>
    <row r="301" spans="1:10" x14ac:dyDescent="0.25">
      <c r="A301" s="7">
        <f>weather_data!B301</f>
        <v>46063.854166666657</v>
      </c>
      <c r="B301" s="8">
        <f t="shared" si="24"/>
        <v>46063</v>
      </c>
      <c r="C301" s="9" t="str">
        <f t="shared" si="25"/>
        <v>yyyy-02</v>
      </c>
      <c r="D301" s="9">
        <f t="shared" si="26"/>
        <v>2</v>
      </c>
      <c r="E301" s="9" t="str">
        <f t="shared" si="27"/>
        <v>luty</v>
      </c>
      <c r="F301" s="9" t="str">
        <f t="shared" si="28"/>
        <v>Q1</v>
      </c>
      <c r="G301" s="9" t="str">
        <f t="shared" si="29"/>
        <v>Winter</v>
      </c>
      <c r="H301" s="10">
        <f>weather_data!E301-weather_data!D301</f>
        <v>-2</v>
      </c>
      <c r="I301" s="9">
        <f>IF(OR(weather_data!H301="light rain",weather_data!H301="moderate rain",weather_data!H301="drizzle",weather_data!H301="thunderstorm"),1,0)</f>
        <v>1</v>
      </c>
      <c r="J301" s="9">
        <f>IF(weather_data!I301&gt;=25,1,0)</f>
        <v>0</v>
      </c>
    </row>
    <row r="302" spans="1:10" x14ac:dyDescent="0.25">
      <c r="A302" s="7">
        <f>weather_data!B302</f>
        <v>46064.298611111109</v>
      </c>
      <c r="B302" s="8">
        <f t="shared" si="24"/>
        <v>46064</v>
      </c>
      <c r="C302" s="9" t="str">
        <f t="shared" si="25"/>
        <v>yyyy-02</v>
      </c>
      <c r="D302" s="9">
        <f t="shared" si="26"/>
        <v>2</v>
      </c>
      <c r="E302" s="9" t="str">
        <f t="shared" si="27"/>
        <v>luty</v>
      </c>
      <c r="F302" s="9" t="str">
        <f t="shared" si="28"/>
        <v>Q1</v>
      </c>
      <c r="G302" s="9" t="str">
        <f t="shared" si="29"/>
        <v>Winter</v>
      </c>
      <c r="H302" s="10">
        <f>weather_data!E302-weather_data!D302</f>
        <v>-0.59999999999999964</v>
      </c>
      <c r="I302" s="9">
        <f>IF(OR(weather_data!H302="light rain",weather_data!H302="moderate rain",weather_data!H302="drizzle",weather_data!H302="thunderstorm"),1,0)</f>
        <v>0</v>
      </c>
      <c r="J302" s="9">
        <f>IF(weather_data!I302&gt;=25,1,0)</f>
        <v>0</v>
      </c>
    </row>
    <row r="303" spans="1:10" x14ac:dyDescent="0.25">
      <c r="A303" s="7">
        <f>weather_data!B303</f>
        <v>46065.736111111109</v>
      </c>
      <c r="B303" s="8">
        <f t="shared" si="24"/>
        <v>46065</v>
      </c>
      <c r="C303" s="9" t="str">
        <f t="shared" si="25"/>
        <v>yyyy-02</v>
      </c>
      <c r="D303" s="9">
        <f t="shared" si="26"/>
        <v>2</v>
      </c>
      <c r="E303" s="9" t="str">
        <f t="shared" si="27"/>
        <v>luty</v>
      </c>
      <c r="F303" s="9" t="str">
        <f t="shared" si="28"/>
        <v>Q1</v>
      </c>
      <c r="G303" s="9" t="str">
        <f t="shared" si="29"/>
        <v>Winter</v>
      </c>
      <c r="H303" s="10">
        <f>weather_data!E303-weather_data!D303</f>
        <v>-0.30000000000000071</v>
      </c>
      <c r="I303" s="9">
        <f>IF(OR(weather_data!H303="light rain",weather_data!H303="moderate rain",weather_data!H303="drizzle",weather_data!H303="thunderstorm"),1,0)</f>
        <v>0</v>
      </c>
      <c r="J303" s="9">
        <f>IF(weather_data!I303&gt;=25,1,0)</f>
        <v>0</v>
      </c>
    </row>
    <row r="304" spans="1:10" x14ac:dyDescent="0.25">
      <c r="A304" s="7">
        <f>weather_data!B304</f>
        <v>46066.909722222219</v>
      </c>
      <c r="B304" s="8">
        <f t="shared" si="24"/>
        <v>46066</v>
      </c>
      <c r="C304" s="9" t="str">
        <f t="shared" si="25"/>
        <v>yyyy-02</v>
      </c>
      <c r="D304" s="9">
        <f t="shared" si="26"/>
        <v>2</v>
      </c>
      <c r="E304" s="9" t="str">
        <f t="shared" si="27"/>
        <v>luty</v>
      </c>
      <c r="F304" s="9" t="str">
        <f t="shared" si="28"/>
        <v>Q1</v>
      </c>
      <c r="G304" s="9" t="str">
        <f t="shared" si="29"/>
        <v>Winter</v>
      </c>
      <c r="H304" s="10">
        <f>weather_data!E304-weather_data!D304</f>
        <v>1.1000000000000014</v>
      </c>
      <c r="I304" s="9">
        <f>IF(OR(weather_data!H304="light rain",weather_data!H304="moderate rain",weather_data!H304="drizzle",weather_data!H304="thunderstorm"),1,0)</f>
        <v>1</v>
      </c>
      <c r="J304" s="9">
        <f>IF(weather_data!I304&gt;=25,1,0)</f>
        <v>1</v>
      </c>
    </row>
    <row r="305" spans="1:10" x14ac:dyDescent="0.25">
      <c r="A305" s="7">
        <f>weather_data!B305</f>
        <v>46067.833333333343</v>
      </c>
      <c r="B305" s="8">
        <f t="shared" si="24"/>
        <v>46067</v>
      </c>
      <c r="C305" s="9" t="str">
        <f t="shared" si="25"/>
        <v>yyyy-02</v>
      </c>
      <c r="D305" s="9">
        <f t="shared" si="26"/>
        <v>2</v>
      </c>
      <c r="E305" s="9" t="str">
        <f t="shared" si="27"/>
        <v>luty</v>
      </c>
      <c r="F305" s="9" t="str">
        <f t="shared" si="28"/>
        <v>Q1</v>
      </c>
      <c r="G305" s="9" t="str">
        <f t="shared" si="29"/>
        <v>Winter</v>
      </c>
      <c r="H305" s="10">
        <f>weather_data!E305-weather_data!D305</f>
        <v>-0.10000000000000142</v>
      </c>
      <c r="I305" s="9">
        <f>IF(OR(weather_data!H305="light rain",weather_data!H305="moderate rain",weather_data!H305="drizzle",weather_data!H305="thunderstorm"),1,0)</f>
        <v>0</v>
      </c>
      <c r="J305" s="9">
        <f>IF(weather_data!I305&gt;=25,1,0)</f>
        <v>0</v>
      </c>
    </row>
    <row r="306" spans="1:10" x14ac:dyDescent="0.25">
      <c r="A306" s="7">
        <f>weather_data!B306</f>
        <v>46068.513888888891</v>
      </c>
      <c r="B306" s="8">
        <f t="shared" si="24"/>
        <v>46068</v>
      </c>
      <c r="C306" s="9" t="str">
        <f t="shared" si="25"/>
        <v>yyyy-02</v>
      </c>
      <c r="D306" s="9">
        <f t="shared" si="26"/>
        <v>2</v>
      </c>
      <c r="E306" s="9" t="str">
        <f t="shared" si="27"/>
        <v>luty</v>
      </c>
      <c r="F306" s="9" t="str">
        <f t="shared" si="28"/>
        <v>Q1</v>
      </c>
      <c r="G306" s="9" t="str">
        <f t="shared" si="29"/>
        <v>Winter</v>
      </c>
      <c r="H306" s="10">
        <f>weather_data!E306-weather_data!D306</f>
        <v>-0.90000000000000036</v>
      </c>
      <c r="I306" s="9">
        <f>IF(OR(weather_data!H306="light rain",weather_data!H306="moderate rain",weather_data!H306="drizzle",weather_data!H306="thunderstorm"),1,0)</f>
        <v>0</v>
      </c>
      <c r="J306" s="9">
        <f>IF(weather_data!I306&gt;=25,1,0)</f>
        <v>0</v>
      </c>
    </row>
    <row r="307" spans="1:10" x14ac:dyDescent="0.25">
      <c r="A307" s="7">
        <f>weather_data!B307</f>
        <v>46069.430555555547</v>
      </c>
      <c r="B307" s="8">
        <f t="shared" si="24"/>
        <v>46069</v>
      </c>
      <c r="C307" s="9" t="str">
        <f t="shared" si="25"/>
        <v>yyyy-02</v>
      </c>
      <c r="D307" s="9">
        <f t="shared" si="26"/>
        <v>2</v>
      </c>
      <c r="E307" s="9" t="str">
        <f t="shared" si="27"/>
        <v>luty</v>
      </c>
      <c r="F307" s="9" t="str">
        <f t="shared" si="28"/>
        <v>Q1</v>
      </c>
      <c r="G307" s="9" t="str">
        <f t="shared" si="29"/>
        <v>Winter</v>
      </c>
      <c r="H307" s="10">
        <f>weather_data!E307-weather_data!D307</f>
        <v>-0.5</v>
      </c>
      <c r="I307" s="9">
        <f>IF(OR(weather_data!H307="light rain",weather_data!H307="moderate rain",weather_data!H307="drizzle",weather_data!H307="thunderstorm"),1,0)</f>
        <v>1</v>
      </c>
      <c r="J307" s="9">
        <f>IF(weather_data!I307&gt;=25,1,0)</f>
        <v>0</v>
      </c>
    </row>
    <row r="308" spans="1:10" x14ac:dyDescent="0.25">
      <c r="A308" s="7">
        <f>weather_data!B308</f>
        <v>46070.868055555547</v>
      </c>
      <c r="B308" s="8">
        <f t="shared" si="24"/>
        <v>46070</v>
      </c>
      <c r="C308" s="9" t="str">
        <f t="shared" si="25"/>
        <v>yyyy-02</v>
      </c>
      <c r="D308" s="9">
        <f t="shared" si="26"/>
        <v>2</v>
      </c>
      <c r="E308" s="9" t="str">
        <f t="shared" si="27"/>
        <v>luty</v>
      </c>
      <c r="F308" s="9" t="str">
        <f t="shared" si="28"/>
        <v>Q1</v>
      </c>
      <c r="G308" s="9" t="str">
        <f t="shared" si="29"/>
        <v>Winter</v>
      </c>
      <c r="H308" s="10">
        <f>weather_data!E308-weather_data!D308</f>
        <v>-9.9999999999999645E-2</v>
      </c>
      <c r="I308" s="9">
        <f>IF(OR(weather_data!H308="light rain",weather_data!H308="moderate rain",weather_data!H308="drizzle",weather_data!H308="thunderstorm"),1,0)</f>
        <v>0</v>
      </c>
      <c r="J308" s="9">
        <f>IF(weather_data!I308&gt;=25,1,0)</f>
        <v>0</v>
      </c>
    </row>
    <row r="309" spans="1:10" x14ac:dyDescent="0.25">
      <c r="A309" s="7">
        <f>weather_data!B309</f>
        <v>46072.875</v>
      </c>
      <c r="B309" s="8">
        <f t="shared" si="24"/>
        <v>46072</v>
      </c>
      <c r="C309" s="9" t="str">
        <f t="shared" si="25"/>
        <v>yyyy-02</v>
      </c>
      <c r="D309" s="9">
        <f t="shared" si="26"/>
        <v>2</v>
      </c>
      <c r="E309" s="9" t="str">
        <f t="shared" si="27"/>
        <v>luty</v>
      </c>
      <c r="F309" s="9" t="str">
        <f t="shared" si="28"/>
        <v>Q1</v>
      </c>
      <c r="G309" s="9" t="str">
        <f t="shared" si="29"/>
        <v>Winter</v>
      </c>
      <c r="H309" s="10">
        <f>weather_data!E309-weather_data!D309</f>
        <v>0</v>
      </c>
      <c r="I309" s="9">
        <f>IF(OR(weather_data!H309="light rain",weather_data!H309="moderate rain",weather_data!H309="drizzle",weather_data!H309="thunderstorm"),1,0)</f>
        <v>0</v>
      </c>
      <c r="J309" s="9">
        <f>IF(weather_data!I309&gt;=25,1,0)</f>
        <v>0</v>
      </c>
    </row>
    <row r="310" spans="1:10" x14ac:dyDescent="0.25">
      <c r="A310" s="7">
        <f>weather_data!B310</f>
        <v>46073.284722222219</v>
      </c>
      <c r="B310" s="8">
        <f t="shared" si="24"/>
        <v>46073</v>
      </c>
      <c r="C310" s="9" t="str">
        <f t="shared" si="25"/>
        <v>yyyy-02</v>
      </c>
      <c r="D310" s="9">
        <f t="shared" si="26"/>
        <v>2</v>
      </c>
      <c r="E310" s="9" t="str">
        <f t="shared" si="27"/>
        <v>luty</v>
      </c>
      <c r="F310" s="9" t="str">
        <f t="shared" si="28"/>
        <v>Q1</v>
      </c>
      <c r="G310" s="9" t="str">
        <f t="shared" si="29"/>
        <v>Winter</v>
      </c>
      <c r="H310" s="10">
        <f>weather_data!E310-weather_data!D310</f>
        <v>-0.70000000000000107</v>
      </c>
      <c r="I310" s="9">
        <f>IF(OR(weather_data!H310="light rain",weather_data!H310="moderate rain",weather_data!H310="drizzle",weather_data!H310="thunderstorm"),1,0)</f>
        <v>0</v>
      </c>
      <c r="J310" s="9">
        <f>IF(weather_data!I310&gt;=25,1,0)</f>
        <v>0</v>
      </c>
    </row>
    <row r="311" spans="1:10" x14ac:dyDescent="0.25">
      <c r="A311" s="7">
        <f>weather_data!B311</f>
        <v>46074.576388888891</v>
      </c>
      <c r="B311" s="8">
        <f t="shared" si="24"/>
        <v>46074</v>
      </c>
      <c r="C311" s="9" t="str">
        <f t="shared" si="25"/>
        <v>yyyy-02</v>
      </c>
      <c r="D311" s="9">
        <f t="shared" si="26"/>
        <v>2</v>
      </c>
      <c r="E311" s="9" t="str">
        <f t="shared" si="27"/>
        <v>luty</v>
      </c>
      <c r="F311" s="9" t="str">
        <f t="shared" si="28"/>
        <v>Q1</v>
      </c>
      <c r="G311" s="9" t="str">
        <f t="shared" si="29"/>
        <v>Winter</v>
      </c>
      <c r="H311" s="10">
        <f>weather_data!E311-weather_data!D311</f>
        <v>0.40000000000000036</v>
      </c>
      <c r="I311" s="9">
        <f>IF(OR(weather_data!H311="light rain",weather_data!H311="moderate rain",weather_data!H311="drizzle",weather_data!H311="thunderstorm"),1,0)</f>
        <v>0</v>
      </c>
      <c r="J311" s="9">
        <f>IF(weather_data!I311&gt;=25,1,0)</f>
        <v>0</v>
      </c>
    </row>
    <row r="312" spans="1:10" x14ac:dyDescent="0.25">
      <c r="A312" s="7">
        <f>weather_data!B312</f>
        <v>46075.472222222219</v>
      </c>
      <c r="B312" s="8">
        <f t="shared" si="24"/>
        <v>46075</v>
      </c>
      <c r="C312" s="9" t="str">
        <f t="shared" si="25"/>
        <v>yyyy-02</v>
      </c>
      <c r="D312" s="9">
        <f t="shared" si="26"/>
        <v>2</v>
      </c>
      <c r="E312" s="9" t="str">
        <f t="shared" si="27"/>
        <v>luty</v>
      </c>
      <c r="F312" s="9" t="str">
        <f t="shared" si="28"/>
        <v>Q1</v>
      </c>
      <c r="G312" s="9" t="str">
        <f t="shared" si="29"/>
        <v>Winter</v>
      </c>
      <c r="H312" s="10">
        <f>weather_data!E312-weather_data!D312</f>
        <v>-0.59999999999999964</v>
      </c>
      <c r="I312" s="9">
        <f>IF(OR(weather_data!H312="light rain",weather_data!H312="moderate rain",weather_data!H312="drizzle",weather_data!H312="thunderstorm"),1,0)</f>
        <v>0</v>
      </c>
      <c r="J312" s="9">
        <f>IF(weather_data!I312&gt;=25,1,0)</f>
        <v>0</v>
      </c>
    </row>
    <row r="313" spans="1:10" x14ac:dyDescent="0.25">
      <c r="A313" s="7">
        <f>weather_data!B313</f>
        <v>46076.277777777781</v>
      </c>
      <c r="B313" s="8">
        <f t="shared" si="24"/>
        <v>46076</v>
      </c>
      <c r="C313" s="9" t="str">
        <f t="shared" si="25"/>
        <v>yyyy-02</v>
      </c>
      <c r="D313" s="9">
        <f t="shared" si="26"/>
        <v>2</v>
      </c>
      <c r="E313" s="9" t="str">
        <f t="shared" si="27"/>
        <v>luty</v>
      </c>
      <c r="F313" s="9" t="str">
        <f t="shared" si="28"/>
        <v>Q1</v>
      </c>
      <c r="G313" s="9" t="str">
        <f t="shared" si="29"/>
        <v>Winter</v>
      </c>
      <c r="H313" s="10">
        <f>weather_data!E313-weather_data!D313</f>
        <v>-1.0999999999999996</v>
      </c>
      <c r="I313" s="9">
        <f>IF(OR(weather_data!H313="light rain",weather_data!H313="moderate rain",weather_data!H313="drizzle",weather_data!H313="thunderstorm"),1,0)</f>
        <v>0</v>
      </c>
      <c r="J313" s="9">
        <f>IF(weather_data!I313&gt;=25,1,0)</f>
        <v>0</v>
      </c>
    </row>
    <row r="314" spans="1:10" x14ac:dyDescent="0.25">
      <c r="A314" s="7">
        <f>weather_data!B314</f>
        <v>46077.791666666657</v>
      </c>
      <c r="B314" s="8">
        <f t="shared" si="24"/>
        <v>46077</v>
      </c>
      <c r="C314" s="9" t="str">
        <f t="shared" si="25"/>
        <v>yyyy-02</v>
      </c>
      <c r="D314" s="9">
        <f t="shared" si="26"/>
        <v>2</v>
      </c>
      <c r="E314" s="9" t="str">
        <f t="shared" si="27"/>
        <v>luty</v>
      </c>
      <c r="F314" s="9" t="str">
        <f t="shared" si="28"/>
        <v>Q1</v>
      </c>
      <c r="G314" s="9" t="str">
        <f t="shared" si="29"/>
        <v>Winter</v>
      </c>
      <c r="H314" s="10">
        <f>weather_data!E314-weather_data!D314</f>
        <v>-0.5</v>
      </c>
      <c r="I314" s="9">
        <f>IF(OR(weather_data!H314="light rain",weather_data!H314="moderate rain",weather_data!H314="drizzle",weather_data!H314="thunderstorm"),1,0)</f>
        <v>0</v>
      </c>
      <c r="J314" s="9">
        <f>IF(weather_data!I314&gt;=25,1,0)</f>
        <v>0</v>
      </c>
    </row>
    <row r="315" spans="1:10" x14ac:dyDescent="0.25">
      <c r="A315" s="7">
        <f>weather_data!B315</f>
        <v>46079.541666666657</v>
      </c>
      <c r="B315" s="8">
        <f t="shared" si="24"/>
        <v>46079</v>
      </c>
      <c r="C315" s="9" t="str">
        <f t="shared" si="25"/>
        <v>yyyy-02</v>
      </c>
      <c r="D315" s="9">
        <f t="shared" si="26"/>
        <v>2</v>
      </c>
      <c r="E315" s="9" t="str">
        <f t="shared" si="27"/>
        <v>luty</v>
      </c>
      <c r="F315" s="9" t="str">
        <f t="shared" si="28"/>
        <v>Q1</v>
      </c>
      <c r="G315" s="9" t="str">
        <f t="shared" si="29"/>
        <v>Winter</v>
      </c>
      <c r="H315" s="10">
        <f>weather_data!E315-weather_data!D315</f>
        <v>-0.29999999999999893</v>
      </c>
      <c r="I315" s="9">
        <f>IF(OR(weather_data!H315="light rain",weather_data!H315="moderate rain",weather_data!H315="drizzle",weather_data!H315="thunderstorm"),1,0)</f>
        <v>0</v>
      </c>
      <c r="J315" s="9">
        <f>IF(weather_data!I315&gt;=25,1,0)</f>
        <v>0</v>
      </c>
    </row>
    <row r="316" spans="1:10" x14ac:dyDescent="0.25">
      <c r="A316" s="7">
        <f>weather_data!B316</f>
        <v>46080.833333333343</v>
      </c>
      <c r="B316" s="8">
        <f t="shared" si="24"/>
        <v>46080</v>
      </c>
      <c r="C316" s="9" t="str">
        <f t="shared" si="25"/>
        <v>yyyy-02</v>
      </c>
      <c r="D316" s="9">
        <f t="shared" si="26"/>
        <v>2</v>
      </c>
      <c r="E316" s="9" t="str">
        <f t="shared" si="27"/>
        <v>luty</v>
      </c>
      <c r="F316" s="9" t="str">
        <f t="shared" si="28"/>
        <v>Q1</v>
      </c>
      <c r="G316" s="9" t="str">
        <f t="shared" si="29"/>
        <v>Winter</v>
      </c>
      <c r="H316" s="10">
        <f>weather_data!E316-weather_data!D316</f>
        <v>9.9999999999999645E-2</v>
      </c>
      <c r="I316" s="9">
        <f>IF(OR(weather_data!H316="light rain",weather_data!H316="moderate rain",weather_data!H316="drizzle",weather_data!H316="thunderstorm"),1,0)</f>
        <v>0</v>
      </c>
      <c r="J316" s="9">
        <f>IF(weather_data!I316&gt;=25,1,0)</f>
        <v>0</v>
      </c>
    </row>
    <row r="317" spans="1:10" x14ac:dyDescent="0.25">
      <c r="A317" s="7">
        <f>weather_data!B317</f>
        <v>46081.4375</v>
      </c>
      <c r="B317" s="8">
        <f t="shared" si="24"/>
        <v>46081</v>
      </c>
      <c r="C317" s="9" t="str">
        <f t="shared" si="25"/>
        <v>yyyy-02</v>
      </c>
      <c r="D317" s="9">
        <f t="shared" si="26"/>
        <v>2</v>
      </c>
      <c r="E317" s="9" t="str">
        <f t="shared" si="27"/>
        <v>luty</v>
      </c>
      <c r="F317" s="9" t="str">
        <f t="shared" si="28"/>
        <v>Q1</v>
      </c>
      <c r="G317" s="9" t="str">
        <f t="shared" si="29"/>
        <v>Winter</v>
      </c>
      <c r="H317" s="10">
        <f>weather_data!E317-weather_data!D317</f>
        <v>-0.60000000000000142</v>
      </c>
      <c r="I317" s="9">
        <f>IF(OR(weather_data!H317="light rain",weather_data!H317="moderate rain",weather_data!H317="drizzle",weather_data!H317="thunderstorm"),1,0)</f>
        <v>0</v>
      </c>
      <c r="J317" s="9">
        <f>IF(weather_data!I317&gt;=25,1,0)</f>
        <v>0</v>
      </c>
    </row>
    <row r="318" spans="1:10" x14ac:dyDescent="0.25">
      <c r="A318" s="7">
        <f>weather_data!B318</f>
        <v>46082.652777777781</v>
      </c>
      <c r="B318" s="8">
        <f t="shared" si="24"/>
        <v>46082</v>
      </c>
      <c r="C318" s="9" t="str">
        <f t="shared" si="25"/>
        <v>yyyy-03</v>
      </c>
      <c r="D318" s="9">
        <f t="shared" si="26"/>
        <v>3</v>
      </c>
      <c r="E318" s="9" t="str">
        <f t="shared" si="27"/>
        <v>marzec</v>
      </c>
      <c r="F318" s="9" t="str">
        <f t="shared" si="28"/>
        <v>Q1</v>
      </c>
      <c r="G318" s="9" t="str">
        <f t="shared" si="29"/>
        <v>Spring</v>
      </c>
      <c r="H318" s="10">
        <f>weather_data!E318-weather_data!D318</f>
        <v>-0.5</v>
      </c>
      <c r="I318" s="9">
        <f>IF(OR(weather_data!H318="light rain",weather_data!H318="moderate rain",weather_data!H318="drizzle",weather_data!H318="thunderstorm"),1,0)</f>
        <v>0</v>
      </c>
      <c r="J318" s="9">
        <f>IF(weather_data!I318&gt;=25,1,0)</f>
        <v>0</v>
      </c>
    </row>
    <row r="319" spans="1:10" x14ac:dyDescent="0.25">
      <c r="A319" s="7">
        <f>weather_data!B319</f>
        <v>46083.604166666657</v>
      </c>
      <c r="B319" s="8">
        <f t="shared" si="24"/>
        <v>46083</v>
      </c>
      <c r="C319" s="9" t="str">
        <f t="shared" si="25"/>
        <v>yyyy-03</v>
      </c>
      <c r="D319" s="9">
        <f t="shared" si="26"/>
        <v>3</v>
      </c>
      <c r="E319" s="9" t="str">
        <f t="shared" si="27"/>
        <v>marzec</v>
      </c>
      <c r="F319" s="9" t="str">
        <f t="shared" si="28"/>
        <v>Q1</v>
      </c>
      <c r="G319" s="9" t="str">
        <f t="shared" si="29"/>
        <v>Spring</v>
      </c>
      <c r="H319" s="10">
        <f>weather_data!E319-weather_data!D319</f>
        <v>-1.1000000000000005</v>
      </c>
      <c r="I319" s="9">
        <f>IF(OR(weather_data!H319="light rain",weather_data!H319="moderate rain",weather_data!H319="drizzle",weather_data!H319="thunderstorm"),1,0)</f>
        <v>0</v>
      </c>
      <c r="J319" s="9">
        <f>IF(weather_data!I319&gt;=25,1,0)</f>
        <v>0</v>
      </c>
    </row>
    <row r="320" spans="1:10" x14ac:dyDescent="0.25">
      <c r="A320" s="7">
        <f>weather_data!B320</f>
        <v>46084.895833333343</v>
      </c>
      <c r="B320" s="8">
        <f t="shared" si="24"/>
        <v>46084</v>
      </c>
      <c r="C320" s="9" t="str">
        <f t="shared" si="25"/>
        <v>yyyy-03</v>
      </c>
      <c r="D320" s="9">
        <f t="shared" si="26"/>
        <v>3</v>
      </c>
      <c r="E320" s="9" t="str">
        <f t="shared" si="27"/>
        <v>marzec</v>
      </c>
      <c r="F320" s="9" t="str">
        <f t="shared" si="28"/>
        <v>Q1</v>
      </c>
      <c r="G320" s="9" t="str">
        <f t="shared" si="29"/>
        <v>Spring</v>
      </c>
      <c r="H320" s="10">
        <f>weather_data!E320-weather_data!D320</f>
        <v>-0.90000000000000036</v>
      </c>
      <c r="I320" s="9">
        <f>IF(OR(weather_data!H320="light rain",weather_data!H320="moderate rain",weather_data!H320="drizzle",weather_data!H320="thunderstorm"),1,0)</f>
        <v>1</v>
      </c>
      <c r="J320" s="9">
        <f>IF(weather_data!I320&gt;=25,1,0)</f>
        <v>1</v>
      </c>
    </row>
    <row r="321" spans="1:10" x14ac:dyDescent="0.25">
      <c r="A321" s="7">
        <f>weather_data!B321</f>
        <v>46085.5625</v>
      </c>
      <c r="B321" s="8">
        <f t="shared" si="24"/>
        <v>46085</v>
      </c>
      <c r="C321" s="9" t="str">
        <f t="shared" si="25"/>
        <v>yyyy-03</v>
      </c>
      <c r="D321" s="9">
        <f t="shared" si="26"/>
        <v>3</v>
      </c>
      <c r="E321" s="9" t="str">
        <f t="shared" si="27"/>
        <v>marzec</v>
      </c>
      <c r="F321" s="9" t="str">
        <f t="shared" si="28"/>
        <v>Q1</v>
      </c>
      <c r="G321" s="9" t="str">
        <f t="shared" si="29"/>
        <v>Spring</v>
      </c>
      <c r="H321" s="10">
        <f>weather_data!E321-weather_data!D321</f>
        <v>0.30000000000000071</v>
      </c>
      <c r="I321" s="9">
        <f>IF(OR(weather_data!H321="light rain",weather_data!H321="moderate rain",weather_data!H321="drizzle",weather_data!H321="thunderstorm"),1,0)</f>
        <v>0</v>
      </c>
      <c r="J321" s="9">
        <f>IF(weather_data!I321&gt;=25,1,0)</f>
        <v>0</v>
      </c>
    </row>
    <row r="322" spans="1:10" x14ac:dyDescent="0.25">
      <c r="A322" s="7">
        <f>weather_data!B322</f>
        <v>46086.4375</v>
      </c>
      <c r="B322" s="8">
        <f t="shared" ref="B322:B351" si="30">INT(A322)</f>
        <v>46086</v>
      </c>
      <c r="C322" s="9" t="str">
        <f t="shared" ref="C322:C351" si="31">TEXT(B322,"yyyy-mm")</f>
        <v>yyyy-03</v>
      </c>
      <c r="D322" s="9">
        <f t="shared" ref="D322:D351" si="32">MONTH(B322)</f>
        <v>3</v>
      </c>
      <c r="E322" s="9" t="str">
        <f t="shared" ref="E322:E351" si="33">TEXT(B322,"mmmm")</f>
        <v>marzec</v>
      </c>
      <c r="F322" s="9" t="str">
        <f t="shared" ref="F322:F351" si="34">"Q"&amp;ROUNDUP(D322/3,0)</f>
        <v>Q1</v>
      </c>
      <c r="G322" s="9" t="str">
        <f t="shared" ref="G322:G351" si="35">IF(OR(D322=12,D322&lt;=2),"Winter",IF(D322&lt;=5,"Spring",IF(D322&lt;=8,"Summer","Autumn")))</f>
        <v>Spring</v>
      </c>
      <c r="H322" s="10">
        <f>weather_data!E322-weather_data!D322</f>
        <v>-1.2000000000000011</v>
      </c>
      <c r="I322" s="9">
        <f>IF(OR(weather_data!H322="light rain",weather_data!H322="moderate rain",weather_data!H322="drizzle",weather_data!H322="thunderstorm"),1,0)</f>
        <v>0</v>
      </c>
      <c r="J322" s="9">
        <f>IF(weather_data!I322&gt;=25,1,0)</f>
        <v>0</v>
      </c>
    </row>
    <row r="323" spans="1:10" x14ac:dyDescent="0.25">
      <c r="A323" s="7">
        <f>weather_data!B323</f>
        <v>46087.527777777781</v>
      </c>
      <c r="B323" s="8">
        <f t="shared" si="30"/>
        <v>46087</v>
      </c>
      <c r="C323" s="9" t="str">
        <f t="shared" si="31"/>
        <v>yyyy-03</v>
      </c>
      <c r="D323" s="9">
        <f t="shared" si="32"/>
        <v>3</v>
      </c>
      <c r="E323" s="9" t="str">
        <f t="shared" si="33"/>
        <v>marzec</v>
      </c>
      <c r="F323" s="9" t="str">
        <f t="shared" si="34"/>
        <v>Q1</v>
      </c>
      <c r="G323" s="9" t="str">
        <f t="shared" si="35"/>
        <v>Spring</v>
      </c>
      <c r="H323" s="10">
        <f>weather_data!E323-weather_data!D323</f>
        <v>0.70000000000000107</v>
      </c>
      <c r="I323" s="9">
        <f>IF(OR(weather_data!H323="light rain",weather_data!H323="moderate rain",weather_data!H323="drizzle",weather_data!H323="thunderstorm"),1,0)</f>
        <v>0</v>
      </c>
      <c r="J323" s="9">
        <f>IF(weather_data!I323&gt;=25,1,0)</f>
        <v>0</v>
      </c>
    </row>
    <row r="324" spans="1:10" x14ac:dyDescent="0.25">
      <c r="A324" s="7">
        <f>weather_data!B324</f>
        <v>46088.416666666657</v>
      </c>
      <c r="B324" s="8">
        <f t="shared" si="30"/>
        <v>46088</v>
      </c>
      <c r="C324" s="9" t="str">
        <f t="shared" si="31"/>
        <v>yyyy-03</v>
      </c>
      <c r="D324" s="9">
        <f t="shared" si="32"/>
        <v>3</v>
      </c>
      <c r="E324" s="9" t="str">
        <f t="shared" si="33"/>
        <v>marzec</v>
      </c>
      <c r="F324" s="9" t="str">
        <f t="shared" si="34"/>
        <v>Q1</v>
      </c>
      <c r="G324" s="9" t="str">
        <f t="shared" si="35"/>
        <v>Spring</v>
      </c>
      <c r="H324" s="10">
        <f>weather_data!E324-weather_data!D324</f>
        <v>-0.40000000000000036</v>
      </c>
      <c r="I324" s="9">
        <f>IF(OR(weather_data!H324="light rain",weather_data!H324="moderate rain",weather_data!H324="drizzle",weather_data!H324="thunderstorm"),1,0)</f>
        <v>1</v>
      </c>
      <c r="J324" s="9">
        <f>IF(weather_data!I324&gt;=25,1,0)</f>
        <v>0</v>
      </c>
    </row>
    <row r="325" spans="1:10" x14ac:dyDescent="0.25">
      <c r="A325" s="7">
        <f>weather_data!B325</f>
        <v>46089.604166666657</v>
      </c>
      <c r="B325" s="8">
        <f t="shared" si="30"/>
        <v>46089</v>
      </c>
      <c r="C325" s="9" t="str">
        <f t="shared" si="31"/>
        <v>yyyy-03</v>
      </c>
      <c r="D325" s="9">
        <f t="shared" si="32"/>
        <v>3</v>
      </c>
      <c r="E325" s="9" t="str">
        <f t="shared" si="33"/>
        <v>marzec</v>
      </c>
      <c r="F325" s="9" t="str">
        <f t="shared" si="34"/>
        <v>Q1</v>
      </c>
      <c r="G325" s="9" t="str">
        <f t="shared" si="35"/>
        <v>Spring</v>
      </c>
      <c r="H325" s="10">
        <f>weather_data!E325-weather_data!D325</f>
        <v>0.30000000000000071</v>
      </c>
      <c r="I325" s="9">
        <f>IF(OR(weather_data!H325="light rain",weather_data!H325="moderate rain",weather_data!H325="drizzle",weather_data!H325="thunderstorm"),1,0)</f>
        <v>0</v>
      </c>
      <c r="J325" s="9">
        <f>IF(weather_data!I325&gt;=25,1,0)</f>
        <v>0</v>
      </c>
    </row>
    <row r="326" spans="1:10" x14ac:dyDescent="0.25">
      <c r="A326" s="7">
        <f>weather_data!B326</f>
        <v>46091.694444444453</v>
      </c>
      <c r="B326" s="8">
        <f t="shared" si="30"/>
        <v>46091</v>
      </c>
      <c r="C326" s="9" t="str">
        <f t="shared" si="31"/>
        <v>yyyy-03</v>
      </c>
      <c r="D326" s="9">
        <f t="shared" si="32"/>
        <v>3</v>
      </c>
      <c r="E326" s="9" t="str">
        <f t="shared" si="33"/>
        <v>marzec</v>
      </c>
      <c r="F326" s="9" t="str">
        <f t="shared" si="34"/>
        <v>Q1</v>
      </c>
      <c r="G326" s="9" t="str">
        <f t="shared" si="35"/>
        <v>Spring</v>
      </c>
      <c r="H326" s="10">
        <f>weather_data!E326-weather_data!D326</f>
        <v>0.59999999999999964</v>
      </c>
      <c r="I326" s="9">
        <f>IF(OR(weather_data!H326="light rain",weather_data!H326="moderate rain",weather_data!H326="drizzle",weather_data!H326="thunderstorm"),1,0)</f>
        <v>0</v>
      </c>
      <c r="J326" s="9">
        <f>IF(weather_data!I326&gt;=25,1,0)</f>
        <v>1</v>
      </c>
    </row>
    <row r="327" spans="1:10" x14ac:dyDescent="0.25">
      <c r="A327" s="7">
        <f>weather_data!B327</f>
        <v>46092.583333333343</v>
      </c>
      <c r="B327" s="8">
        <f t="shared" si="30"/>
        <v>46092</v>
      </c>
      <c r="C327" s="9" t="str">
        <f t="shared" si="31"/>
        <v>yyyy-03</v>
      </c>
      <c r="D327" s="9">
        <f t="shared" si="32"/>
        <v>3</v>
      </c>
      <c r="E327" s="9" t="str">
        <f t="shared" si="33"/>
        <v>marzec</v>
      </c>
      <c r="F327" s="9" t="str">
        <f t="shared" si="34"/>
        <v>Q1</v>
      </c>
      <c r="G327" s="9" t="str">
        <f t="shared" si="35"/>
        <v>Spring</v>
      </c>
      <c r="H327" s="10">
        <f>weather_data!E327-weather_data!D327</f>
        <v>-1</v>
      </c>
      <c r="I327" s="9">
        <f>IF(OR(weather_data!H327="light rain",weather_data!H327="moderate rain",weather_data!H327="drizzle",weather_data!H327="thunderstorm"),1,0)</f>
        <v>0</v>
      </c>
      <c r="J327" s="9">
        <f>IF(weather_data!I327&gt;=25,1,0)</f>
        <v>0</v>
      </c>
    </row>
    <row r="328" spans="1:10" x14ac:dyDescent="0.25">
      <c r="A328" s="7">
        <f>weather_data!B328</f>
        <v>46093.659722222219</v>
      </c>
      <c r="B328" s="8">
        <f t="shared" si="30"/>
        <v>46093</v>
      </c>
      <c r="C328" s="9" t="str">
        <f t="shared" si="31"/>
        <v>yyyy-03</v>
      </c>
      <c r="D328" s="9">
        <f t="shared" si="32"/>
        <v>3</v>
      </c>
      <c r="E328" s="9" t="str">
        <f t="shared" si="33"/>
        <v>marzec</v>
      </c>
      <c r="F328" s="9" t="str">
        <f t="shared" si="34"/>
        <v>Q1</v>
      </c>
      <c r="G328" s="9" t="str">
        <f t="shared" si="35"/>
        <v>Spring</v>
      </c>
      <c r="H328" s="10">
        <f>weather_data!E328-weather_data!D328</f>
        <v>0.80000000000000071</v>
      </c>
      <c r="I328" s="9">
        <f>IF(OR(weather_data!H328="light rain",weather_data!H328="moderate rain",weather_data!H328="drizzle",weather_data!H328="thunderstorm"),1,0)</f>
        <v>0</v>
      </c>
      <c r="J328" s="9">
        <f>IF(weather_data!I328&gt;=25,1,0)</f>
        <v>0</v>
      </c>
    </row>
    <row r="329" spans="1:10" x14ac:dyDescent="0.25">
      <c r="A329" s="7">
        <f>weather_data!B329</f>
        <v>46094.652777777781</v>
      </c>
      <c r="B329" s="8">
        <f t="shared" si="30"/>
        <v>46094</v>
      </c>
      <c r="C329" s="9" t="str">
        <f t="shared" si="31"/>
        <v>yyyy-03</v>
      </c>
      <c r="D329" s="9">
        <f t="shared" si="32"/>
        <v>3</v>
      </c>
      <c r="E329" s="9" t="str">
        <f t="shared" si="33"/>
        <v>marzec</v>
      </c>
      <c r="F329" s="9" t="str">
        <f t="shared" si="34"/>
        <v>Q1</v>
      </c>
      <c r="G329" s="9" t="str">
        <f t="shared" si="35"/>
        <v>Spring</v>
      </c>
      <c r="H329" s="10">
        <f>weather_data!E329-weather_data!D329</f>
        <v>-1.0999999999999996</v>
      </c>
      <c r="I329" s="9">
        <f>IF(OR(weather_data!H329="light rain",weather_data!H329="moderate rain",weather_data!H329="drizzle",weather_data!H329="thunderstorm"),1,0)</f>
        <v>1</v>
      </c>
      <c r="J329" s="9">
        <f>IF(weather_data!I329&gt;=25,1,0)</f>
        <v>0</v>
      </c>
    </row>
    <row r="330" spans="1:10" x14ac:dyDescent="0.25">
      <c r="A330" s="7">
        <f>weather_data!B330</f>
        <v>46095.881944444453</v>
      </c>
      <c r="B330" s="8">
        <f t="shared" si="30"/>
        <v>46095</v>
      </c>
      <c r="C330" s="9" t="str">
        <f t="shared" si="31"/>
        <v>yyyy-03</v>
      </c>
      <c r="D330" s="9">
        <f t="shared" si="32"/>
        <v>3</v>
      </c>
      <c r="E330" s="9" t="str">
        <f t="shared" si="33"/>
        <v>marzec</v>
      </c>
      <c r="F330" s="9" t="str">
        <f t="shared" si="34"/>
        <v>Q1</v>
      </c>
      <c r="G330" s="9" t="str">
        <f t="shared" si="35"/>
        <v>Spring</v>
      </c>
      <c r="H330" s="10">
        <f>weather_data!E330-weather_data!D330</f>
        <v>0.5</v>
      </c>
      <c r="I330" s="9">
        <f>IF(OR(weather_data!H330="light rain",weather_data!H330="moderate rain",weather_data!H330="drizzle",weather_data!H330="thunderstorm"),1,0)</f>
        <v>1</v>
      </c>
      <c r="J330" s="9">
        <f>IF(weather_data!I330&gt;=25,1,0)</f>
        <v>1</v>
      </c>
    </row>
    <row r="331" spans="1:10" x14ac:dyDescent="0.25">
      <c r="A331" s="7">
        <f>weather_data!B331</f>
        <v>46096.861111111109</v>
      </c>
      <c r="B331" s="8">
        <f t="shared" si="30"/>
        <v>46096</v>
      </c>
      <c r="C331" s="9" t="str">
        <f t="shared" si="31"/>
        <v>yyyy-03</v>
      </c>
      <c r="D331" s="9">
        <f t="shared" si="32"/>
        <v>3</v>
      </c>
      <c r="E331" s="9" t="str">
        <f t="shared" si="33"/>
        <v>marzec</v>
      </c>
      <c r="F331" s="9" t="str">
        <f t="shared" si="34"/>
        <v>Q1</v>
      </c>
      <c r="G331" s="9" t="str">
        <f t="shared" si="35"/>
        <v>Spring</v>
      </c>
      <c r="H331" s="10">
        <f>weather_data!E331-weather_data!D331</f>
        <v>-0.80000000000000071</v>
      </c>
      <c r="I331" s="9">
        <f>IF(OR(weather_data!H331="light rain",weather_data!H331="moderate rain",weather_data!H331="drizzle",weather_data!H331="thunderstorm"),1,0)</f>
        <v>1</v>
      </c>
      <c r="J331" s="9">
        <f>IF(weather_data!I331&gt;=25,1,0)</f>
        <v>1</v>
      </c>
    </row>
    <row r="332" spans="1:10" x14ac:dyDescent="0.25">
      <c r="A332" s="7">
        <f>weather_data!B332</f>
        <v>46097.888888888891</v>
      </c>
      <c r="B332" s="8">
        <f t="shared" si="30"/>
        <v>46097</v>
      </c>
      <c r="C332" s="9" t="str">
        <f t="shared" si="31"/>
        <v>yyyy-03</v>
      </c>
      <c r="D332" s="9">
        <f t="shared" si="32"/>
        <v>3</v>
      </c>
      <c r="E332" s="9" t="str">
        <f t="shared" si="33"/>
        <v>marzec</v>
      </c>
      <c r="F332" s="9" t="str">
        <f t="shared" si="34"/>
        <v>Q1</v>
      </c>
      <c r="G332" s="9" t="str">
        <f t="shared" si="35"/>
        <v>Spring</v>
      </c>
      <c r="H332" s="10">
        <f>weather_data!E332-weather_data!D332</f>
        <v>0.50000000000000178</v>
      </c>
      <c r="I332" s="9">
        <f>IF(OR(weather_data!H332="light rain",weather_data!H332="moderate rain",weather_data!H332="drizzle",weather_data!H332="thunderstorm"),1,0)</f>
        <v>0</v>
      </c>
      <c r="J332" s="9">
        <f>IF(weather_data!I332&gt;=25,1,0)</f>
        <v>0</v>
      </c>
    </row>
    <row r="333" spans="1:10" x14ac:dyDescent="0.25">
      <c r="A333" s="7">
        <f>weather_data!B333</f>
        <v>46098.694444444453</v>
      </c>
      <c r="B333" s="8">
        <f t="shared" si="30"/>
        <v>46098</v>
      </c>
      <c r="C333" s="9" t="str">
        <f t="shared" si="31"/>
        <v>yyyy-03</v>
      </c>
      <c r="D333" s="9">
        <f t="shared" si="32"/>
        <v>3</v>
      </c>
      <c r="E333" s="9" t="str">
        <f t="shared" si="33"/>
        <v>marzec</v>
      </c>
      <c r="F333" s="9" t="str">
        <f t="shared" si="34"/>
        <v>Q1</v>
      </c>
      <c r="G333" s="9" t="str">
        <f t="shared" si="35"/>
        <v>Spring</v>
      </c>
      <c r="H333" s="10">
        <f>weather_data!E333-weather_data!D333</f>
        <v>0.80000000000000071</v>
      </c>
      <c r="I333" s="9">
        <f>IF(OR(weather_data!H333="light rain",weather_data!H333="moderate rain",weather_data!H333="drizzle",weather_data!H333="thunderstorm"),1,0)</f>
        <v>0</v>
      </c>
      <c r="J333" s="9">
        <f>IF(weather_data!I333&gt;=25,1,0)</f>
        <v>0</v>
      </c>
    </row>
    <row r="334" spans="1:10" x14ac:dyDescent="0.25">
      <c r="A334" s="7">
        <f>weather_data!B334</f>
        <v>46099.770833333343</v>
      </c>
      <c r="B334" s="8">
        <f t="shared" si="30"/>
        <v>46099</v>
      </c>
      <c r="C334" s="9" t="str">
        <f t="shared" si="31"/>
        <v>yyyy-03</v>
      </c>
      <c r="D334" s="9">
        <f t="shared" si="32"/>
        <v>3</v>
      </c>
      <c r="E334" s="9" t="str">
        <f t="shared" si="33"/>
        <v>marzec</v>
      </c>
      <c r="F334" s="9" t="str">
        <f t="shared" si="34"/>
        <v>Q1</v>
      </c>
      <c r="G334" s="9" t="str">
        <f t="shared" si="35"/>
        <v>Spring</v>
      </c>
      <c r="H334" s="10">
        <f>weather_data!E334-weather_data!D334</f>
        <v>0.5</v>
      </c>
      <c r="I334" s="9">
        <f>IF(OR(weather_data!H334="light rain",weather_data!H334="moderate rain",weather_data!H334="drizzle",weather_data!H334="thunderstorm"),1,0)</f>
        <v>0</v>
      </c>
      <c r="J334" s="9">
        <f>IF(weather_data!I334&gt;=25,1,0)</f>
        <v>0</v>
      </c>
    </row>
    <row r="335" spans="1:10" x14ac:dyDescent="0.25">
      <c r="A335" s="7">
        <f>weather_data!B335</f>
        <v>46100.673611111109</v>
      </c>
      <c r="B335" s="8">
        <f t="shared" si="30"/>
        <v>46100</v>
      </c>
      <c r="C335" s="9" t="str">
        <f t="shared" si="31"/>
        <v>yyyy-03</v>
      </c>
      <c r="D335" s="9">
        <f t="shared" si="32"/>
        <v>3</v>
      </c>
      <c r="E335" s="9" t="str">
        <f t="shared" si="33"/>
        <v>marzec</v>
      </c>
      <c r="F335" s="9" t="str">
        <f t="shared" si="34"/>
        <v>Q1</v>
      </c>
      <c r="G335" s="9" t="str">
        <f t="shared" si="35"/>
        <v>Spring</v>
      </c>
      <c r="H335" s="10">
        <f>weather_data!E335-weather_data!D335</f>
        <v>1.2000000000000028</v>
      </c>
      <c r="I335" s="9">
        <f>IF(OR(weather_data!H335="light rain",weather_data!H335="moderate rain",weather_data!H335="drizzle",weather_data!H335="thunderstorm"),1,0)</f>
        <v>0</v>
      </c>
      <c r="J335" s="9">
        <f>IF(weather_data!I335&gt;=25,1,0)</f>
        <v>0</v>
      </c>
    </row>
    <row r="336" spans="1:10" x14ac:dyDescent="0.25">
      <c r="A336" s="7">
        <f>weather_data!B336</f>
        <v>46101.569444444453</v>
      </c>
      <c r="B336" s="8">
        <f t="shared" si="30"/>
        <v>46101</v>
      </c>
      <c r="C336" s="9" t="str">
        <f t="shared" si="31"/>
        <v>yyyy-03</v>
      </c>
      <c r="D336" s="9">
        <f t="shared" si="32"/>
        <v>3</v>
      </c>
      <c r="E336" s="9" t="str">
        <f t="shared" si="33"/>
        <v>marzec</v>
      </c>
      <c r="F336" s="9" t="str">
        <f t="shared" si="34"/>
        <v>Q1</v>
      </c>
      <c r="G336" s="9" t="str">
        <f t="shared" si="35"/>
        <v>Spring</v>
      </c>
      <c r="H336" s="10">
        <f>weather_data!E336-weather_data!D336</f>
        <v>0.59999999999999964</v>
      </c>
      <c r="I336" s="9">
        <f>IF(OR(weather_data!H336="light rain",weather_data!H336="moderate rain",weather_data!H336="drizzle",weather_data!H336="thunderstorm"),1,0)</f>
        <v>0</v>
      </c>
      <c r="J336" s="9">
        <f>IF(weather_data!I336&gt;=25,1,0)</f>
        <v>0</v>
      </c>
    </row>
    <row r="337" spans="1:10" x14ac:dyDescent="0.25">
      <c r="A337" s="7">
        <f>weather_data!B337</f>
        <v>46102.756944444453</v>
      </c>
      <c r="B337" s="8">
        <f t="shared" si="30"/>
        <v>46102</v>
      </c>
      <c r="C337" s="9" t="str">
        <f t="shared" si="31"/>
        <v>yyyy-03</v>
      </c>
      <c r="D337" s="9">
        <f t="shared" si="32"/>
        <v>3</v>
      </c>
      <c r="E337" s="9" t="str">
        <f t="shared" si="33"/>
        <v>marzec</v>
      </c>
      <c r="F337" s="9" t="str">
        <f t="shared" si="34"/>
        <v>Q1</v>
      </c>
      <c r="G337" s="9" t="str">
        <f t="shared" si="35"/>
        <v>Spring</v>
      </c>
      <c r="H337" s="10">
        <f>weather_data!E337-weather_data!D337</f>
        <v>0.60000000000000142</v>
      </c>
      <c r="I337" s="9">
        <f>IF(OR(weather_data!H337="light rain",weather_data!H337="moderate rain",weather_data!H337="drizzle",weather_data!H337="thunderstorm"),1,0)</f>
        <v>0</v>
      </c>
      <c r="J337" s="9">
        <f>IF(weather_data!I337&gt;=25,1,0)</f>
        <v>0</v>
      </c>
    </row>
    <row r="338" spans="1:10" x14ac:dyDescent="0.25">
      <c r="A338" s="7">
        <f>weather_data!B338</f>
        <v>46103.791666666657</v>
      </c>
      <c r="B338" s="8">
        <f t="shared" si="30"/>
        <v>46103</v>
      </c>
      <c r="C338" s="9" t="str">
        <f t="shared" si="31"/>
        <v>yyyy-03</v>
      </c>
      <c r="D338" s="9">
        <f t="shared" si="32"/>
        <v>3</v>
      </c>
      <c r="E338" s="9" t="str">
        <f t="shared" si="33"/>
        <v>marzec</v>
      </c>
      <c r="F338" s="9" t="str">
        <f t="shared" si="34"/>
        <v>Q1</v>
      </c>
      <c r="G338" s="9" t="str">
        <f t="shared" si="35"/>
        <v>Spring</v>
      </c>
      <c r="H338" s="10">
        <f>weather_data!E338-weather_data!D338</f>
        <v>0.5</v>
      </c>
      <c r="I338" s="9">
        <f>IF(OR(weather_data!H338="light rain",weather_data!H338="moderate rain",weather_data!H338="drizzle",weather_data!H338="thunderstorm"),1,0)</f>
        <v>1</v>
      </c>
      <c r="J338" s="9">
        <f>IF(weather_data!I338&gt;=25,1,0)</f>
        <v>0</v>
      </c>
    </row>
    <row r="339" spans="1:10" x14ac:dyDescent="0.25">
      <c r="A339" s="7">
        <f>weather_data!B339</f>
        <v>46104.701388888891</v>
      </c>
      <c r="B339" s="8">
        <f t="shared" si="30"/>
        <v>46104</v>
      </c>
      <c r="C339" s="9" t="str">
        <f t="shared" si="31"/>
        <v>yyyy-03</v>
      </c>
      <c r="D339" s="9">
        <f t="shared" si="32"/>
        <v>3</v>
      </c>
      <c r="E339" s="9" t="str">
        <f t="shared" si="33"/>
        <v>marzec</v>
      </c>
      <c r="F339" s="9" t="str">
        <f t="shared" si="34"/>
        <v>Q1</v>
      </c>
      <c r="G339" s="9" t="str">
        <f t="shared" si="35"/>
        <v>Spring</v>
      </c>
      <c r="H339" s="10">
        <f>weather_data!E339-weather_data!D339</f>
        <v>-0.69999999999999929</v>
      </c>
      <c r="I339" s="9">
        <f>IF(OR(weather_data!H339="light rain",weather_data!H339="moderate rain",weather_data!H339="drizzle",weather_data!H339="thunderstorm"),1,0)</f>
        <v>0</v>
      </c>
      <c r="J339" s="9">
        <f>IF(weather_data!I339&gt;=25,1,0)</f>
        <v>0</v>
      </c>
    </row>
    <row r="340" spans="1:10" x14ac:dyDescent="0.25">
      <c r="A340" s="7">
        <f>weather_data!B340</f>
        <v>46105.909722222219</v>
      </c>
      <c r="B340" s="8">
        <f t="shared" si="30"/>
        <v>46105</v>
      </c>
      <c r="C340" s="9" t="str">
        <f t="shared" si="31"/>
        <v>yyyy-03</v>
      </c>
      <c r="D340" s="9">
        <f t="shared" si="32"/>
        <v>3</v>
      </c>
      <c r="E340" s="9" t="str">
        <f t="shared" si="33"/>
        <v>marzec</v>
      </c>
      <c r="F340" s="9" t="str">
        <f t="shared" si="34"/>
        <v>Q1</v>
      </c>
      <c r="G340" s="9" t="str">
        <f t="shared" si="35"/>
        <v>Spring</v>
      </c>
      <c r="H340" s="10">
        <f>weather_data!E340-weather_data!D340</f>
        <v>0</v>
      </c>
      <c r="I340" s="9">
        <f>IF(OR(weather_data!H340="light rain",weather_data!H340="moderate rain",weather_data!H340="drizzle",weather_data!H340="thunderstorm"),1,0)</f>
        <v>1</v>
      </c>
      <c r="J340" s="9">
        <f>IF(weather_data!I340&gt;=25,1,0)</f>
        <v>1</v>
      </c>
    </row>
    <row r="341" spans="1:10" x14ac:dyDescent="0.25">
      <c r="A341" s="7">
        <f>weather_data!B341</f>
        <v>46106.770833333343</v>
      </c>
      <c r="B341" s="8">
        <f t="shared" si="30"/>
        <v>46106</v>
      </c>
      <c r="C341" s="9" t="str">
        <f t="shared" si="31"/>
        <v>yyyy-03</v>
      </c>
      <c r="D341" s="9">
        <f t="shared" si="32"/>
        <v>3</v>
      </c>
      <c r="E341" s="9" t="str">
        <f t="shared" si="33"/>
        <v>marzec</v>
      </c>
      <c r="F341" s="9" t="str">
        <f t="shared" si="34"/>
        <v>Q1</v>
      </c>
      <c r="G341" s="9" t="str">
        <f t="shared" si="35"/>
        <v>Spring</v>
      </c>
      <c r="H341" s="10">
        <f>weather_data!E341-weather_data!D341</f>
        <v>0.39999999999999858</v>
      </c>
      <c r="I341" s="9">
        <f>IF(OR(weather_data!H341="light rain",weather_data!H341="moderate rain",weather_data!H341="drizzle",weather_data!H341="thunderstorm"),1,0)</f>
        <v>0</v>
      </c>
      <c r="J341" s="9">
        <f>IF(weather_data!I341&gt;=25,1,0)</f>
        <v>0</v>
      </c>
    </row>
    <row r="342" spans="1:10" x14ac:dyDescent="0.25">
      <c r="A342" s="7">
        <f>weather_data!B342</f>
        <v>46108.4375</v>
      </c>
      <c r="B342" s="8">
        <f t="shared" si="30"/>
        <v>46108</v>
      </c>
      <c r="C342" s="9" t="str">
        <f t="shared" si="31"/>
        <v>yyyy-03</v>
      </c>
      <c r="D342" s="9">
        <f t="shared" si="32"/>
        <v>3</v>
      </c>
      <c r="E342" s="9" t="str">
        <f t="shared" si="33"/>
        <v>marzec</v>
      </c>
      <c r="F342" s="9" t="str">
        <f t="shared" si="34"/>
        <v>Q1</v>
      </c>
      <c r="G342" s="9" t="str">
        <f t="shared" si="35"/>
        <v>Spring</v>
      </c>
      <c r="H342" s="10">
        <f>weather_data!E342-weather_data!D342</f>
        <v>-1</v>
      </c>
      <c r="I342" s="9">
        <f>IF(OR(weather_data!H342="light rain",weather_data!H342="moderate rain",weather_data!H342="drizzle",weather_data!H342="thunderstorm"),1,0)</f>
        <v>1</v>
      </c>
      <c r="J342" s="9">
        <f>IF(weather_data!I342&gt;=25,1,0)</f>
        <v>0</v>
      </c>
    </row>
    <row r="343" spans="1:10" x14ac:dyDescent="0.25">
      <c r="A343" s="7">
        <f>weather_data!B343</f>
        <v>46109.298611111109</v>
      </c>
      <c r="B343" s="8">
        <f t="shared" si="30"/>
        <v>46109</v>
      </c>
      <c r="C343" s="9" t="str">
        <f t="shared" si="31"/>
        <v>yyyy-03</v>
      </c>
      <c r="D343" s="9">
        <f t="shared" si="32"/>
        <v>3</v>
      </c>
      <c r="E343" s="9" t="str">
        <f t="shared" si="33"/>
        <v>marzec</v>
      </c>
      <c r="F343" s="9" t="str">
        <f t="shared" si="34"/>
        <v>Q1</v>
      </c>
      <c r="G343" s="9" t="str">
        <f t="shared" si="35"/>
        <v>Spring</v>
      </c>
      <c r="H343" s="10">
        <f>weather_data!E343-weather_data!D343</f>
        <v>-1.3000000000000007</v>
      </c>
      <c r="I343" s="9">
        <f>IF(OR(weather_data!H343="light rain",weather_data!H343="moderate rain",weather_data!H343="drizzle",weather_data!H343="thunderstorm"),1,0)</f>
        <v>1</v>
      </c>
      <c r="J343" s="9">
        <f>IF(weather_data!I343&gt;=25,1,0)</f>
        <v>0</v>
      </c>
    </row>
    <row r="344" spans="1:10" x14ac:dyDescent="0.25">
      <c r="A344" s="7">
        <f>weather_data!B344</f>
        <v>46110.666666666657</v>
      </c>
      <c r="B344" s="8">
        <f t="shared" si="30"/>
        <v>46110</v>
      </c>
      <c r="C344" s="9" t="str">
        <f t="shared" si="31"/>
        <v>yyyy-03</v>
      </c>
      <c r="D344" s="9">
        <f t="shared" si="32"/>
        <v>3</v>
      </c>
      <c r="E344" s="9" t="str">
        <f t="shared" si="33"/>
        <v>marzec</v>
      </c>
      <c r="F344" s="9" t="str">
        <f t="shared" si="34"/>
        <v>Q1</v>
      </c>
      <c r="G344" s="9" t="str">
        <f t="shared" si="35"/>
        <v>Spring</v>
      </c>
      <c r="H344" s="10">
        <f>weather_data!E344-weather_data!D344</f>
        <v>0.80000000000000071</v>
      </c>
      <c r="I344" s="9">
        <f>IF(OR(weather_data!H344="light rain",weather_data!H344="moderate rain",weather_data!H344="drizzle",weather_data!H344="thunderstorm"),1,0)</f>
        <v>0</v>
      </c>
      <c r="J344" s="9">
        <f>IF(weather_data!I344&gt;=25,1,0)</f>
        <v>0</v>
      </c>
    </row>
    <row r="345" spans="1:10" x14ac:dyDescent="0.25">
      <c r="A345" s="7">
        <f>weather_data!B345</f>
        <v>46111.833333333343</v>
      </c>
      <c r="B345" s="8">
        <f t="shared" si="30"/>
        <v>46111</v>
      </c>
      <c r="C345" s="9" t="str">
        <f t="shared" si="31"/>
        <v>yyyy-03</v>
      </c>
      <c r="D345" s="9">
        <f t="shared" si="32"/>
        <v>3</v>
      </c>
      <c r="E345" s="9" t="str">
        <f t="shared" si="33"/>
        <v>marzec</v>
      </c>
      <c r="F345" s="9" t="str">
        <f t="shared" si="34"/>
        <v>Q1</v>
      </c>
      <c r="G345" s="9" t="str">
        <f t="shared" si="35"/>
        <v>Spring</v>
      </c>
      <c r="H345" s="10">
        <f>weather_data!E345-weather_data!D345</f>
        <v>-0.20000000000000284</v>
      </c>
      <c r="I345" s="9">
        <f>IF(OR(weather_data!H345="light rain",weather_data!H345="moderate rain",weather_data!H345="drizzle",weather_data!H345="thunderstorm"),1,0)</f>
        <v>0</v>
      </c>
      <c r="J345" s="9">
        <f>IF(weather_data!I345&gt;=25,1,0)</f>
        <v>0</v>
      </c>
    </row>
    <row r="346" spans="1:10" x14ac:dyDescent="0.25">
      <c r="A346" s="7">
        <f>weather_data!B346</f>
        <v>46112.833333333343</v>
      </c>
      <c r="B346" s="8">
        <f t="shared" si="30"/>
        <v>46112</v>
      </c>
      <c r="C346" s="9" t="str">
        <f t="shared" si="31"/>
        <v>yyyy-03</v>
      </c>
      <c r="D346" s="9">
        <f t="shared" si="32"/>
        <v>3</v>
      </c>
      <c r="E346" s="9" t="str">
        <f t="shared" si="33"/>
        <v>marzec</v>
      </c>
      <c r="F346" s="9" t="str">
        <f t="shared" si="34"/>
        <v>Q1</v>
      </c>
      <c r="G346" s="9" t="str">
        <f t="shared" si="35"/>
        <v>Spring</v>
      </c>
      <c r="H346" s="10">
        <f>weather_data!E346-weather_data!D346</f>
        <v>0.5</v>
      </c>
      <c r="I346" s="9">
        <f>IF(OR(weather_data!H346="light rain",weather_data!H346="moderate rain",weather_data!H346="drizzle",weather_data!H346="thunderstorm"),1,0)</f>
        <v>0</v>
      </c>
      <c r="J346" s="9">
        <f>IF(weather_data!I346&gt;=25,1,0)</f>
        <v>0</v>
      </c>
    </row>
    <row r="347" spans="1:10" x14ac:dyDescent="0.25">
      <c r="A347" s="7">
        <f>weather_data!B347</f>
        <v>46113.4375</v>
      </c>
      <c r="B347" s="8">
        <f t="shared" si="30"/>
        <v>46113</v>
      </c>
      <c r="C347" s="9" t="str">
        <f t="shared" si="31"/>
        <v>yyyy-04</v>
      </c>
      <c r="D347" s="9">
        <f t="shared" si="32"/>
        <v>4</v>
      </c>
      <c r="E347" s="9" t="str">
        <f t="shared" si="33"/>
        <v>kwiecień</v>
      </c>
      <c r="F347" s="9" t="str">
        <f t="shared" si="34"/>
        <v>Q2</v>
      </c>
      <c r="G347" s="9" t="str">
        <f t="shared" si="35"/>
        <v>Spring</v>
      </c>
      <c r="H347" s="10">
        <f>weather_data!E347-weather_data!D347</f>
        <v>-0.80000000000000071</v>
      </c>
      <c r="I347" s="9">
        <f>IF(OR(weather_data!H347="light rain",weather_data!H347="moderate rain",weather_data!H347="drizzle",weather_data!H347="thunderstorm"),1,0)</f>
        <v>0</v>
      </c>
      <c r="J347" s="9">
        <f>IF(weather_data!I347&gt;=25,1,0)</f>
        <v>0</v>
      </c>
    </row>
    <row r="348" spans="1:10" x14ac:dyDescent="0.25">
      <c r="A348" s="7">
        <f>weather_data!B348</f>
        <v>46114.416666666657</v>
      </c>
      <c r="B348" s="8">
        <f t="shared" si="30"/>
        <v>46114</v>
      </c>
      <c r="C348" s="9" t="str">
        <f t="shared" si="31"/>
        <v>yyyy-04</v>
      </c>
      <c r="D348" s="9">
        <f t="shared" si="32"/>
        <v>4</v>
      </c>
      <c r="E348" s="9" t="str">
        <f t="shared" si="33"/>
        <v>kwiecień</v>
      </c>
      <c r="F348" s="9" t="str">
        <f t="shared" si="34"/>
        <v>Q2</v>
      </c>
      <c r="G348" s="9" t="str">
        <f t="shared" si="35"/>
        <v>Spring</v>
      </c>
      <c r="H348" s="10">
        <f>weather_data!E348-weather_data!D348</f>
        <v>-0.5</v>
      </c>
      <c r="I348" s="9">
        <f>IF(OR(weather_data!H348="light rain",weather_data!H348="moderate rain",weather_data!H348="drizzle",weather_data!H348="thunderstorm"),1,0)</f>
        <v>0</v>
      </c>
      <c r="J348" s="9">
        <f>IF(weather_data!I348&gt;=25,1,0)</f>
        <v>1</v>
      </c>
    </row>
    <row r="349" spans="1:10" x14ac:dyDescent="0.25">
      <c r="A349" s="7">
        <f>weather_data!B349</f>
        <v>46115.888888888891</v>
      </c>
      <c r="B349" s="8">
        <f t="shared" si="30"/>
        <v>46115</v>
      </c>
      <c r="C349" s="9" t="str">
        <f t="shared" si="31"/>
        <v>yyyy-04</v>
      </c>
      <c r="D349" s="9">
        <f t="shared" si="32"/>
        <v>4</v>
      </c>
      <c r="E349" s="9" t="str">
        <f t="shared" si="33"/>
        <v>kwiecień</v>
      </c>
      <c r="F349" s="9" t="str">
        <f t="shared" si="34"/>
        <v>Q2</v>
      </c>
      <c r="G349" s="9" t="str">
        <f t="shared" si="35"/>
        <v>Spring</v>
      </c>
      <c r="H349" s="10">
        <f>weather_data!E349-weather_data!D349</f>
        <v>-0.40000000000000213</v>
      </c>
      <c r="I349" s="9">
        <f>IF(OR(weather_data!H349="light rain",weather_data!H349="moderate rain",weather_data!H349="drizzle",weather_data!H349="thunderstorm"),1,0)</f>
        <v>0</v>
      </c>
      <c r="J349" s="9">
        <f>IF(weather_data!I349&gt;=25,1,0)</f>
        <v>0</v>
      </c>
    </row>
    <row r="350" spans="1:10" x14ac:dyDescent="0.25">
      <c r="A350" s="7">
        <f>weather_data!B350</f>
        <v>46116.694444444453</v>
      </c>
      <c r="B350" s="8">
        <f t="shared" si="30"/>
        <v>46116</v>
      </c>
      <c r="C350" s="9" t="str">
        <f t="shared" si="31"/>
        <v>yyyy-04</v>
      </c>
      <c r="D350" s="9">
        <f t="shared" si="32"/>
        <v>4</v>
      </c>
      <c r="E350" s="9" t="str">
        <f t="shared" si="33"/>
        <v>kwiecień</v>
      </c>
      <c r="F350" s="9" t="str">
        <f t="shared" si="34"/>
        <v>Q2</v>
      </c>
      <c r="G350" s="9" t="str">
        <f t="shared" si="35"/>
        <v>Spring</v>
      </c>
      <c r="H350" s="10">
        <f>weather_data!E350-weather_data!D350</f>
        <v>0.90000000000000036</v>
      </c>
      <c r="I350" s="9">
        <f>IF(OR(weather_data!H350="light rain",weather_data!H350="moderate rain",weather_data!H350="drizzle",weather_data!H350="thunderstorm"),1,0)</f>
        <v>1</v>
      </c>
      <c r="J350" s="9">
        <f>IF(weather_data!I350&gt;=25,1,0)</f>
        <v>0</v>
      </c>
    </row>
    <row r="351" spans="1:10" x14ac:dyDescent="0.25">
      <c r="A351" s="7">
        <f>weather_data!B351</f>
        <v>46117.784722222219</v>
      </c>
      <c r="B351" s="8">
        <f t="shared" si="30"/>
        <v>46117</v>
      </c>
      <c r="C351" s="9" t="str">
        <f t="shared" si="31"/>
        <v>yyyy-04</v>
      </c>
      <c r="D351" s="9">
        <f t="shared" si="32"/>
        <v>4</v>
      </c>
      <c r="E351" s="9" t="str">
        <f t="shared" si="33"/>
        <v>kwiecień</v>
      </c>
      <c r="F351" s="9" t="str">
        <f t="shared" si="34"/>
        <v>Q2</v>
      </c>
      <c r="G351" s="9" t="str">
        <f t="shared" si="35"/>
        <v>Spring</v>
      </c>
      <c r="H351" s="10">
        <f>weather_data!E351-weather_data!D351</f>
        <v>1</v>
      </c>
      <c r="I351" s="9">
        <f>IF(OR(weather_data!H351="light rain",weather_data!H351="moderate rain",weather_data!H351="drizzle",weather_data!H351="thunderstorm"),1,0)</f>
        <v>0</v>
      </c>
      <c r="J351" s="9">
        <f>IF(weather_data!I351&gt;=25,1,0)</f>
        <v>0</v>
      </c>
    </row>
  </sheetData>
  <pageMargins left="0.7" right="0.7" top="0.75" bottom="0.75" header="0.3" footer="0.3"/>
  <drawing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weather_data</vt:lpstr>
      <vt:lpstr>README</vt:lpstr>
      <vt:lpstr>viz_helper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Michal Sordyl</cp:lastModifiedBy>
  <dcterms:modified xsi:type="dcterms:W3CDTF">2026-04-10T16:43:08Z</dcterms:modified>
</cp:coreProperties>
</file>